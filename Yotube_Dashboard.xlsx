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JK IMP\Data Analytics\Projects\1st Project - YouTube Channel Analysis with Dashboard\"/>
    </mc:Choice>
  </mc:AlternateContent>
  <bookViews>
    <workbookView xWindow="0" yWindow="0" windowWidth="19180" windowHeight="7140" firstSheet="8" activeTab="11"/>
  </bookViews>
  <sheets>
    <sheet name="Revenue by Time Period" sheetId="9" r:id="rId1"/>
    <sheet name="Watch Time by Time Period" sheetId="8" r:id="rId2"/>
    <sheet name="Views by Time Period" sheetId="7" r:id="rId3"/>
    <sheet name="Total Subscribers Gain" sheetId="11" r:id="rId4"/>
    <sheet name="Monthly Trend Chat" sheetId="12" r:id="rId5"/>
    <sheet name="Top 5 Videos" sheetId="15" r:id="rId6"/>
    <sheet name="Revenue Contribution by Time" sheetId="19" r:id="rId7"/>
    <sheet name="Monthly Subscribers Growth" sheetId="20" r:id="rId8"/>
    <sheet name="Video Data" sheetId="2" r:id="rId9"/>
    <sheet name="Age &amp; Gender" sheetId="1" r:id="rId10"/>
    <sheet name="Audience Distribution by Age" sheetId="10" r:id="rId11"/>
    <sheet name="Dashboard" sheetId="4" r:id="rId12"/>
  </sheets>
  <definedNames>
    <definedName name="_xlnm._FilterDatabase" localSheetId="8" hidden="1">'Video Data'!$A$1:$M$1</definedName>
    <definedName name="NativeTimeline_Video_Publish_Date">#N/A</definedName>
    <definedName name="_xlnm.Print_Area" localSheetId="11">Dashboard!$A$1:$Z$54</definedName>
    <definedName name="Slicer_Date_Category">#N/A</definedName>
    <definedName name="Slicer_Video_Title">#N/A</definedName>
  </definedNames>
  <calcPr calcId="152511"/>
  <pivotCaches>
    <pivotCache cacheId="4" r:id="rId13"/>
    <pivotCache cacheId="14"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4" l="1"/>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2" i="2"/>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2" i="2"/>
  <c r="F4" i="4" l="1"/>
  <c r="D4" i="4"/>
  <c r="J4" i="4" s="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2" i="2"/>
</calcChain>
</file>

<file path=xl/sharedStrings.xml><?xml version="1.0" encoding="utf-8"?>
<sst xmlns="http://schemas.openxmlformats.org/spreadsheetml/2006/main" count="1109" uniqueCount="1042">
  <si>
    <t>Views (%)</t>
  </si>
  <si>
    <t>13 to 17 years</t>
  </si>
  <si>
    <t>Female</t>
  </si>
  <si>
    <t>Male</t>
  </si>
  <si>
    <t>18 to 24 years</t>
  </si>
  <si>
    <t>25 to 34 years</t>
  </si>
  <si>
    <t>35 to 44 years</t>
  </si>
  <si>
    <t>45 to 54 years</t>
  </si>
  <si>
    <t>55 to 64 years</t>
  </si>
  <si>
    <t>65+ years</t>
  </si>
  <si>
    <t>Views</t>
  </si>
  <si>
    <t>Subscribers</t>
  </si>
  <si>
    <t>Impressions</t>
  </si>
  <si>
    <t>7SbMPzHHxqM</t>
  </si>
  <si>
    <t>Metro Pride Thakurli | 1 &amp; 2BHK Flats Review | Kalyan East New Project 2026 | Call 7021988393</t>
  </si>
  <si>
    <t>bcylP2fsxO8</t>
  </si>
  <si>
    <t>pNEAdGqEAak</t>
  </si>
  <si>
    <t>2 Bhk Flat In Kalyan For Sale | 2 Bhk Flat For Sale In Kalyan West | Sample Flat | 7021988393</t>
  </si>
  <si>
    <t>HjiSq60QLMk</t>
  </si>
  <si>
    <t>inWubhlxCBY</t>
  </si>
  <si>
    <t>Call 7021988393 | Kohinoor Gardens Shahad Project Review | 1 &amp; 2 BHK Affordable Flats in Kalyan</t>
  </si>
  <si>
    <t>0Vp7MerXA70</t>
  </si>
  <si>
    <t>bzBpj0uvAjI</t>
  </si>
  <si>
    <t>UZCvSRjWfK8</t>
  </si>
  <si>
    <t>Swaminarayan City Dombivli | Luxury 1 &amp; 2 BHK Flats with Top Amenities | Call 7021988393</t>
  </si>
  <si>
    <t>1_FWgqgOjro</t>
  </si>
  <si>
    <t>vp6Pas1jrNE</t>
  </si>
  <si>
    <t>Shubharambh Titwala | Premium 1 BHK Sample Flat Tour | Best Investment in Titwala | Call 7021988393</t>
  </si>
  <si>
    <t>or5lDMXBKTQ</t>
  </si>
  <si>
    <t>Call 7021988393 | Kalyan Elite Kalyan West | Exclusive 2BHK Flats Apartment | New Project in Kalyan</t>
  </si>
  <si>
    <t>jxVAY6SAtVA</t>
  </si>
  <si>
    <t>Sagar Homes Kalyan | 1 &amp; 2BHK Flats with Balcony | Ready To Move Project in Kalyan | Call 7021988393</t>
  </si>
  <si>
    <t>U9Bliv1-uo0</t>
  </si>
  <si>
    <t>f2jpoeleDdI</t>
  </si>
  <si>
    <t>R809vopMuks</t>
  </si>
  <si>
    <t>Kohinoor Gardens Shahad | 1 &amp; 2 BHK Flat in Kalyan | Kohinoor Gardens Review | Call 7021988393</t>
  </si>
  <si>
    <t>hwXwqZbHcNc</t>
  </si>
  <si>
    <t>x3cQkPiw31I</t>
  </si>
  <si>
    <t>Tharwani Vedant Millenia 1 BHK Sample Flat | Smart &amp; Spacious Home Tour in Titwala | Call 7021988393</t>
  </si>
  <si>
    <t>Y1Kj-lJEAxc</t>
  </si>
  <si>
    <t>FJ7gTHO5C70</t>
  </si>
  <si>
    <t>Godrej Riviera Kalyan | Luxury 1 &amp; 2 BHK Riverside Homes Surrounded by Nature | Call 7021988393</t>
  </si>
  <si>
    <t>pTwtA4yvoRA</t>
  </si>
  <si>
    <t>Kalyan Vihar 1BHK Sample Flat Tour | New RERA Approved Project in Kalyan West 2025 | Call 7021988393</t>
  </si>
  <si>
    <t>W40reQ3bGZM</t>
  </si>
  <si>
    <t>Call 7021988393 | Kalyan Ka Sabse Premium aur Affordable Project | Samruddhi Heights Kalyan West</t>
  </si>
  <si>
    <t>HbMsg3s_AEQ</t>
  </si>
  <si>
    <t>xDb1IaWiZx8</t>
  </si>
  <si>
    <t>gLyv-X7GERw</t>
  </si>
  <si>
    <t>9-XS2TvEbQA</t>
  </si>
  <si>
    <t>Commercial Shop for Sale Near Me in Kalyan West at Neelkanth Shrushti | Call 7021988393 #shopforsale</t>
  </si>
  <si>
    <t>r9j4r-sGvCo</t>
  </si>
  <si>
    <t>jAq4lLA0_XU</t>
  </si>
  <si>
    <t>Shubharambh Titwala 1BHK Sample Flat Tour | Budget Friendly Flats in Titwala | Call 7021988393</t>
  </si>
  <si>
    <t>BICe5CoOwkM</t>
  </si>
  <si>
    <t>nbKBFX1giWU</t>
  </si>
  <si>
    <t>n2Iq0mIsxaA</t>
  </si>
  <si>
    <t>mKQcfDDTZAw</t>
  </si>
  <si>
    <t>3eXnxpyTSM0</t>
  </si>
  <si>
    <t>Tharwani Vedant Nakshatra | 2 BHK Flat in Badlapur West Near Station | Call 7021988393</t>
  </si>
  <si>
    <t>WpsfnNjJ4So</t>
  </si>
  <si>
    <t>YBke52IRg1c</t>
  </si>
  <si>
    <t>Saket World Kalyan East | 1 BHK, 3 BHK &amp; Duplex Deck Residences For Sale | | Sample Flat Tour</t>
  </si>
  <si>
    <t>ShRX6Xib5kU</t>
  </si>
  <si>
    <t>Mohan Alcoves Badlapur Project Model | 1 &amp; 2 BHK Premium Homes in Badlapur | Call 7021988393</t>
  </si>
  <si>
    <t>nf-dirzkTuc</t>
  </si>
  <si>
    <t>t1Qv8kP2k6o</t>
  </si>
  <si>
    <t>1 Bhk 29.95 Lacs* | Regency Sarvam Titwala East | Short Project Tour | Call 7021988393</t>
  </si>
  <si>
    <t xml:space="preserve"> -EFRo1mKRt4</t>
  </si>
  <si>
    <t>Venus Skky City Dombivli East | 1 &amp; 2 BHK Deck Homes In Dombivli Near Dmart | Call 7021988393</t>
  </si>
  <si>
    <t>TIv7tO6XUx0</t>
  </si>
  <si>
    <t>Rustomjee Dombivli New Launch | Upcoming Project in Dombivli | Call 7021988393 #gharjunction</t>
  </si>
  <si>
    <t>3ZME88TFM98</t>
  </si>
  <si>
    <t>Metro Pride Project Model | 1 &amp; 2BHK Flats 5Min from Thakurli, 10Min from Dombivli | Call 7021988393</t>
  </si>
  <si>
    <t>67exo3Ai420</t>
  </si>
  <si>
    <t>Regency Sarvam Titwala East | Sample Flat, Price, Address, Review | Ghar Junction | 7021988393</t>
  </si>
  <si>
    <t>ArTMIHGt2zo</t>
  </si>
  <si>
    <t>WMh080oBD50</t>
  </si>
  <si>
    <t>1 BHK Flat in Kalyan Below 20 lakhs | Low Budget Flat in Kalyan West | Sample Flats, Call 7021988393</t>
  </si>
  <si>
    <t>R5sS201kqzg</t>
  </si>
  <si>
    <t>4zdEiFchi_M</t>
  </si>
  <si>
    <t>Godrej Vihaa Badlapur Project Model | 1 &amp; 2 BHK Flats for Sale in Badlapur | Call 7021988393</t>
  </si>
  <si>
    <t>IPGx2gAw7j0</t>
  </si>
  <si>
    <t>Low Cost Flat For Sale In Kalyan West | Top 5 Property Projects In Kalyan | 1 Bhk,2 Bhk | 7021988393</t>
  </si>
  <si>
    <t>Fc6WNemSBWM</t>
  </si>
  <si>
    <t>aQe2Cg60wp8</t>
  </si>
  <si>
    <t>4gISJJ_uFTI</t>
  </si>
  <si>
    <t>EpaGuVB-4LQ</t>
  </si>
  <si>
    <t>Sai World Dreams Dombivli 1/2/3 BHK Tour | Dubai Theme | Review , Floor Plan &amp; Price | 7021988393</t>
  </si>
  <si>
    <t>90Jrojt1F6M</t>
  </si>
  <si>
    <t>p9UudSOXLXI</t>
  </si>
  <si>
    <t>LM Tower | Ready To Move 1 &amp; 2 BHK Flats | Affordable Luxury Homes in Kalyan | Call 7021988393</t>
  </si>
  <si>
    <t>VjpFlSy84s8</t>
  </si>
  <si>
    <t>Mohan Alcoves Badlapur | Inside Tour of Luxurious 2BHK Sample Flat | Call 7021988393</t>
  </si>
  <si>
    <t>1Nw51GGUvSE</t>
  </si>
  <si>
    <t>A1 Living Titwala | Premium 1BHK Sample Flat Tour | Budget 1BHK Flat in Titwala | Call 7021988393</t>
  </si>
  <si>
    <t>HhazSkp3ry0</t>
  </si>
  <si>
    <t>Affordable Flats in Thakurli | Balaji Govind 1BHK Sample Flat | Call 7021988393</t>
  </si>
  <si>
    <t>Sy9_oo_N_hw</t>
  </si>
  <si>
    <t>Regency Anantam NXT | Magic Phir Se | 1/2 BHK Apartment at Dombivli East | Regency Group New Launch</t>
  </si>
  <si>
    <t>5jqL6TcJ4OY</t>
  </si>
  <si>
    <t>Codename Malabar Hill Badlapur | Luxury 2BHK Sample Flat Tour | Kendale Developers | Call 7021988393</t>
  </si>
  <si>
    <t>iOqNUTgGn4U</t>
  </si>
  <si>
    <t>Kohinoor Prime Shahad | 1BHK ,2BHK | Sample Flat | 2 Mins From Shahad Station</t>
  </si>
  <si>
    <t>HlXTMZIMzg0</t>
  </si>
  <si>
    <t>Sai Mauli Titwala | Spacious 2BHK Sample Flat Tour | Near Ganpati Mandir &amp; Station | Call 7021988393</t>
  </si>
  <si>
    <t>iE_HRVrUVf0</t>
  </si>
  <si>
    <t>Call 7021988393 | Commercial Spaces in Kalyan | Industrial Gala Units For Sale | Asmeeta Texpa</t>
  </si>
  <si>
    <t>18VqjvyfNF8</t>
  </si>
  <si>
    <t>Balaji Krishna 1BHK Flat | Affordable Flats in Thakurli | Call 7021988393</t>
  </si>
  <si>
    <t>3Y-EHRNmooM</t>
  </si>
  <si>
    <t>Godrej Vihaa Badlapur | Luxury 1BHK Sample Flat Tour | Call 7021988393</t>
  </si>
  <si>
    <t>NOk8pQbPZYs</t>
  </si>
  <si>
    <t>McuUnO4Tz7k</t>
  </si>
  <si>
    <t>Call 7021988393 | Affordable 1BHK Flats in Kalyan with Modern Rooftop Amenities | Kalyan Vihar</t>
  </si>
  <si>
    <t>w3JdDfpNxQE</t>
  </si>
  <si>
    <t>1 BHK Flat for Sale in Badlapur | Near Badlapur Railway Station | Vedant Nakshatra | Call 7021988393</t>
  </si>
  <si>
    <t>TWR2ijnBkL0</t>
  </si>
  <si>
    <t>XvShCIB_v_M</t>
  </si>
  <si>
    <t>Metro Grande Kalyan 3BHK Sample Flat Tour | Luxury Project Near Metro Mall Kalyan | Call 7021988393</t>
  </si>
  <si>
    <t>6-TVa2dElbQ</t>
  </si>
  <si>
    <t>Tharwani Majestic Tower 2BHK Sample Flat Tour | Call 7021988393 #gharjunction #kalyan #shorts</t>
  </si>
  <si>
    <t>F3fKuEhB_RU</t>
  </si>
  <si>
    <t>Birla Vanya Clubhouse Tour | Experience Luxury &amp; Lifestyle in Kalyan | Call 7021988393</t>
  </si>
  <si>
    <t>YCBpP2dhnwM</t>
  </si>
  <si>
    <t>Regency Sarvam Titwala | 1 BHK Flat for Sale in Titwala East |Flat for sale in Titwala | 7021988393</t>
  </si>
  <si>
    <t>NxwxpbOLUqA</t>
  </si>
  <si>
    <t>Call 7021988393 | Kohinoor Uptown Kalyan | Premium Homes in Kalyan | 1BHK Sample Flat Tour</t>
  </si>
  <si>
    <t>x4796xXMBJ4</t>
  </si>
  <si>
    <t>Call 7021988393 | 1 &amp; 2 BHK Flats in Kalyan at Shocking Price! | Ready to Move | Haware Bapgaon</t>
  </si>
  <si>
    <t>OH2tFurqggY</t>
  </si>
  <si>
    <t>XDSsTo8j0X0</t>
  </si>
  <si>
    <t>P8p0G2AtpNA</t>
  </si>
  <si>
    <t>3rs6yYoPM4Q</t>
  </si>
  <si>
    <t>Call 7021988393 | 1BHK Under 42Lakh in Thakurli, Kalyan | Under Construction Projects in Kalyan</t>
  </si>
  <si>
    <t>c83dg4E6hqs</t>
  </si>
  <si>
    <t>Tharwani Vedant Millenia Clubhouse Tour | 30+ Luxury Amenities | Tharwani Titwala | Call 7021988393</t>
  </si>
  <si>
    <t>KRpmNrjiBuk</t>
  </si>
  <si>
    <t>Rustomjee 3BHK Sample Flat Tour | Luxury Project in Dombivli | Call 7021988393</t>
  </si>
  <si>
    <t>yfPuvztkd50</t>
  </si>
  <si>
    <t>4dWq8hsx3zM</t>
  </si>
  <si>
    <t>Call 7021988393 | Inside Stunning 2BHK Luxury Flat at Yashraj Paradise Kalyan | Dream Home 2025</t>
  </si>
  <si>
    <t>nSHGGD2lHm8</t>
  </si>
  <si>
    <t>Swaminarayan City Dombivli | Luxury Projects in Mumbai | 1&amp;2BHK Flats in Dombivli | Call 7021988393</t>
  </si>
  <si>
    <t>ZZprZPvdi0M</t>
  </si>
  <si>
    <t>Inside Tata Amantra Kalyan West | Luxury 3BHK Sample Flat Tour | Call 7021988393</t>
  </si>
  <si>
    <t>RH_i9j5FHWw</t>
  </si>
  <si>
    <t>Discover Kohinoor Uptown Kalyan West | 1 &amp; 2 BHK Flats with Premium Amenities | Call 7021988393</t>
  </si>
  <si>
    <t>H8t_8FILdSs</t>
  </si>
  <si>
    <t>Call 7021988393 | Kalyan Khadakpada ka Shaandar Luxury Project | Mehat Altura 2BHK Sample Flat Tour</t>
  </si>
  <si>
    <t>ab-K5BhVOuk</t>
  </si>
  <si>
    <t>Siddha Sky Wadala Mumbai | Review Location Price Floor Plan rera address Possession | Ghar Junction</t>
  </si>
  <si>
    <t>2o1HGFaBfoY</t>
  </si>
  <si>
    <t>Explore Luxury 2BHK Sample Flat at Shreeji Landmark | Your Dream Home in Kalyan | Call 7021988393</t>
  </si>
  <si>
    <t>Fe5s0JdBNbk</t>
  </si>
  <si>
    <t>Tata Amantra Kalyan | Luxury Project in Kalyan with Top Amenities | Call 7021988393 #gharjunction</t>
  </si>
  <si>
    <t>y1K93OwiW80</t>
  </si>
  <si>
    <t>3 Min's from Railway Station | 1 &amp; 2 BHK Flats in Shahad | Kohinoor Garden Shahad</t>
  </si>
  <si>
    <t xml:space="preserve"> -s5JBN4nU7c</t>
  </si>
  <si>
    <t>Luxury 2, 3, 4 &amp; 5 BHK Flats in Kalyan | Chavan Advaitam | House Of Chavan | Call 7021988393</t>
  </si>
  <si>
    <t>dtcfITQfiP0</t>
  </si>
  <si>
    <t>Call 7021988393 | Ornate Rise 2BHK Sample Flat | 2 BHK Flat in Kalyan</t>
  </si>
  <si>
    <t>cDM9p2HGvyo</t>
  </si>
  <si>
    <t>Ready To Move 1 &amp; 2 Bhk Flat For Sale In Kalyan West Near Station | Kailash Homes | Call 7021988393</t>
  </si>
  <si>
    <t>2M5m9ctk3T0</t>
  </si>
  <si>
    <t>Call 7021988393 | 2BHK Flat Tour in Swaminarayan City Dombivli | Prime Location, Top Amenities</t>
  </si>
  <si>
    <t>K68ZoHQ1Acs</t>
  </si>
  <si>
    <t>Call 7021988393 | Industrial Gala for Sale in Kalyan | Asmeeta Texpa</t>
  </si>
  <si>
    <t>R85_z0YPzE4</t>
  </si>
  <si>
    <t>Tharwani Vedant Millenia 2BHK Spacious Flat | Near Titwala Ganpati Mandir | Call 7021988393</t>
  </si>
  <si>
    <t>QoyrZFfdEkE</t>
  </si>
  <si>
    <t>ZG66VIpi3Zk</t>
  </si>
  <si>
    <t>CtjzzTYj3Rk</t>
  </si>
  <si>
    <t>Asmeeta Textile Park by Asmeeta Texpa at Bhiwandi Kalyan</t>
  </si>
  <si>
    <t>7iR3ttIp6X0</t>
  </si>
  <si>
    <t>OHlDnwArfYo</t>
  </si>
  <si>
    <t>Spacious Homes in Dombivli | Sunraj Solitaire | 1 BHK Luxury Flat Tour | Call 7021988393 #dombivli</t>
  </si>
  <si>
    <t>nqN9YrXq830</t>
  </si>
  <si>
    <t>Fvh5oRjKGs4</t>
  </si>
  <si>
    <t>Metro Pride Thakurli | 1 BHK Flat Tour | 5Min from Thakurli, 10Min from Dombivli | Call 7021988393</t>
  </si>
  <si>
    <t>yOPYd7G0jTs</t>
  </si>
  <si>
    <t>Call 7021988393 | 1BHK Luxury Flats in Bhiwandi Near Metro | Siyara Fortune</t>
  </si>
  <si>
    <t>PNGfyRbRcDU</t>
  </si>
  <si>
    <t>eais50PxeJE</t>
  </si>
  <si>
    <t>Flats for Sale in Bhiwandi | Top 5 Projects | 1 &amp; 2 BHK | New Construction | Bhiwandi Flat Price</t>
  </si>
  <si>
    <t>tmFwmWPRx_U</t>
  </si>
  <si>
    <t>Call 7021988393 | Luxury Project by Godrej in Kalyan | 1 &amp; 2BHK Flats in Kalyan</t>
  </si>
  <si>
    <t>f9eKxgip7hk</t>
  </si>
  <si>
    <t>Call 7021988393 | 1 BHK Luxury Flat in Kalyan West | Sarvoday Marvel by Happy Homes</t>
  </si>
  <si>
    <t>ZJR9UkONM9Q</t>
  </si>
  <si>
    <t>Call 7021988393 | 1 &amp; 2 BHK Luxury Flats in Kalyan West | Affordable Homes Near Durgadi Bridge</t>
  </si>
  <si>
    <t>e9_nzdDadgQ</t>
  </si>
  <si>
    <t>1BHK Luxury Flat at Tharwani Vedant Nakshatra | Affordable &amp; Premium Living | Call 7021988393</t>
  </si>
  <si>
    <t>brewyXUZXsw</t>
  </si>
  <si>
    <t>b8Wt9GXVLvc</t>
  </si>
  <si>
    <t>Tharwani Palacia 2BHK Sample Flat | Luxury Project in Kalyan | Call 7021988393</t>
  </si>
  <si>
    <t>e_sO_saVfn8</t>
  </si>
  <si>
    <t>Samruddhi Heights Kalyan | Premium 1 RK, 1 &amp; 2 BHK Flats for Sale | Call 7021988393</t>
  </si>
  <si>
    <t>HC_VbsfCE-E</t>
  </si>
  <si>
    <t>Lodha Palava 4 BHK Ultra Luxury Flat For Sale | Lodha Hanging Gardens | Call 7021988393</t>
  </si>
  <si>
    <t>PXfyncYPd3w</t>
  </si>
  <si>
    <t>Jsl9d04aV-0</t>
  </si>
  <si>
    <t>Elite Galaxy Dombivli | Elite Galaxy Sample Flat | Budget 2BHK Flats in Dombivli | Call 7021988393</t>
  </si>
  <si>
    <t>WiVeXRYGb0w</t>
  </si>
  <si>
    <t>Call 7021988393 | Mangeshi World 2BHK Sample Flat Tour | 2BHK Flat Near Kalyan Station</t>
  </si>
  <si>
    <t>vhOAsYrZwp0</t>
  </si>
  <si>
    <t>Call 7021988393 | Budget Flats in Thakurli | Balaji Krishna Apartment</t>
  </si>
  <si>
    <t>Ub8IjCVt2Ss</t>
  </si>
  <si>
    <t>Saket Ayodhya City Kalyan | 1 &amp; 2 BHK Luxury Flat | Saket Nature Vista Kalyan East | Call 7021988393</t>
  </si>
  <si>
    <t>POKdmxbhZKs</t>
  </si>
  <si>
    <t>Call 7021988393 | Panchratna Sapphire Kalyan East | 1 &amp; 2 BHK Luxury Flats with Modern Amenities</t>
  </si>
  <si>
    <t>TFBcxUCuWMM</t>
  </si>
  <si>
    <t>xT3Wqho2dvM</t>
  </si>
  <si>
    <t>Venus Skky City Dombivli | 1 &amp; 2 BHK Deck Homes | Sample Flat &amp; Reviews | Call 7021988393</t>
  </si>
  <si>
    <t>U3YQthZB3HU</t>
  </si>
  <si>
    <t>Call 7021988393 | Tharwani Vedant Millenia Titwala 1BHK Flat | Flat Near Ganpati Mandir Titwala</t>
  </si>
  <si>
    <t>z2obiR8J-7A</t>
  </si>
  <si>
    <t>erX69PitCeA</t>
  </si>
  <si>
    <t>Sai Mauli Titwala | Stunning 1BHK Sample Flat Tour | Call 7021988393</t>
  </si>
  <si>
    <t>5Xvzxt59wP4</t>
  </si>
  <si>
    <t>Amber One Thakurli Real Estate Project | 2BHK Premium Flat in Thakurli | Call 7021988393</t>
  </si>
  <si>
    <t>IH4aDWMo6Vk</t>
  </si>
  <si>
    <t>Kalyan ka Naya Khadakpada | Premium 1 &amp; 2BHK Flats | The Green Sapphirre | Call 7021988393</t>
  </si>
  <si>
    <t>WMVg-cuHYlQ</t>
  </si>
  <si>
    <t>Tb2wlNOaomY</t>
  </si>
  <si>
    <t>s5Ak6bRNn1M</t>
  </si>
  <si>
    <t>Call 7021988393 | Badlapur Me Budget 2BHK Homes | Tulsi Aawas by Raj Group</t>
  </si>
  <si>
    <t>YI4rgYmFBnQ</t>
  </si>
  <si>
    <t>Call 7021988393 | Kulswamini Pride 2BHK Sample Flat Tour | 2BHK Premium Flat in Dombivli</t>
  </si>
  <si>
    <t>klHQCNVm63U</t>
  </si>
  <si>
    <t>Sarvoday Marvel | 2 BHK Sample Flat Tour | Is This Your Dream Home in Kalyan | Call 7021988393</t>
  </si>
  <si>
    <t>rNt5MVzviXo</t>
  </si>
  <si>
    <t>Call 7021988393 | Inside a 3BHK Premium Flat at Tata Amantra, Kalyan | Ready to Move Luxury Homes</t>
  </si>
  <si>
    <t>_YMo65PAPUU</t>
  </si>
  <si>
    <t>0b8LBfpJs04</t>
  </si>
  <si>
    <t>Rustomjee Dombivli | 1, 2 &amp; 3BHK Luxury Homes with Premium Amenities | Call 7021988393</t>
  </si>
  <si>
    <t>W2O_JqZ_ZMw</t>
  </si>
  <si>
    <t>Tulsi Aawas Badlapur | Premium 2BHK Sample Flat Tour | Raj Group - Luxury Living | Call 7021988393</t>
  </si>
  <si>
    <t>4WQlbN4WR5k</t>
  </si>
  <si>
    <t>Best Real Estate Project in Dombivli | Kohinoor Highland Garden and Entrance Tour | Call 7021988393</t>
  </si>
  <si>
    <t>VOd_nbS4teQ</t>
  </si>
  <si>
    <t>Call 7021988393 | 1BHK Premium Flat in Kalyan | Krishna Ultima</t>
  </si>
  <si>
    <t>rwOQijgTDhg</t>
  </si>
  <si>
    <t>Call 7021988393 | Luxury Project in Titwala | Flats Near Titwala Ganpati Mandir | Vedant Millenia</t>
  </si>
  <si>
    <t>ix4U88ZU6b0</t>
  </si>
  <si>
    <t>1 BHK Titwala East | Astha Omkar | Budget Flat Near Gaondevi Mandir | Call 7021988393</t>
  </si>
  <si>
    <t>hK0Q58B-bxQ</t>
  </si>
  <si>
    <t>Call 7021988393 | Luxury 2 BHK Flat Tour in Dombivli East | Regency Luxuria Price, Floor Plan</t>
  </si>
  <si>
    <t>ChR9rm5IQyM</t>
  </si>
  <si>
    <t>1 BHK Flat in Raunak City Kalyan | Luxury Living at Affordable Price | Call 7021988393</t>
  </si>
  <si>
    <t>9c1fAik5ZMU</t>
  </si>
  <si>
    <t>Call 7021988393 | Kalyan Me Highway Touch Budget Friendly Homes | Kalyan Residency 1BHK Sample Flat</t>
  </si>
  <si>
    <t>wKivvpCQ-X0</t>
  </si>
  <si>
    <t>b_P870pmjNo</t>
  </si>
  <si>
    <t>Call 7021988393 | 1BHK Flat in Kalyan West | Next to Singhania School | Manokamana Kalyan</t>
  </si>
  <si>
    <t>4eB7Uw-M5XE</t>
  </si>
  <si>
    <t>fQmXrlbRThY</t>
  </si>
  <si>
    <t>Kohinoor Gardens Shahad | 1 BHK Flat for Sale in Kalyan | 1 BHK Flat For Sale | Call 7021988393</t>
  </si>
  <si>
    <t>f_0bNdHx9G4</t>
  </si>
  <si>
    <t>Haware Kalyan 1 &amp; 2 BHK Flat for Sale | Project Review | Haware My First Homes Muthaval | 7021988393</t>
  </si>
  <si>
    <t>l60U05RW3Vc</t>
  </si>
  <si>
    <t>Luxury 2 BHK Flats in JP Anant Kalyan West Rambaug | Kalyan Flat For Sale | Call 7021988393</t>
  </si>
  <si>
    <t xml:space="preserve"> -y0a5yBZRIA</t>
  </si>
  <si>
    <t>Call 7021988393 | Seasons Green Kalyan West | Kalyan Ka Biggest Garden | 1 &amp; 2 BHK Flat in Kalyan</t>
  </si>
  <si>
    <t>CGIVoeTIXFc</t>
  </si>
  <si>
    <t>White Square Kalyan | Luxury 2, 3 &amp; 4 BHK Flats | New Project Near Kala Talao | Call 7021988393</t>
  </si>
  <si>
    <t>NzKOwpFSE1k</t>
  </si>
  <si>
    <t>KBLDZYLCn80</t>
  </si>
  <si>
    <t>7zwCFsbrs1U</t>
  </si>
  <si>
    <t>Call 7021988393 | Dombivli Me Nature Homes 54.99Lac Se Shuru | 1BHK Sample Flat Tour</t>
  </si>
  <si>
    <t>SIqI0-iSJx4</t>
  </si>
  <si>
    <t>Call 7021988393 | Luxurious Township in Kalyan | Affordable 1 &amp; 2BHK Flats in Kalyan</t>
  </si>
  <si>
    <t>4phivj_XxwY</t>
  </si>
  <si>
    <t>Call 7021988393 | Kalyan Tallest Tower | Mohan Prestige Kalyan West | Luxury 4BHK Residency</t>
  </si>
  <si>
    <t>o0hXJSCzZqY</t>
  </si>
  <si>
    <t>1 &amp; 2 BHK Flat in Kalyan | Best Property in Kalyan | Seasons Green Kalyan West | Call 7021988393</t>
  </si>
  <si>
    <t>lt0Osu649EU</t>
  </si>
  <si>
    <t>Call 7021988393 | Yashraj Paradise Kalyan East | 1 &amp; 2 BHK Luxury Flats in Kalyan | Budget Property</t>
  </si>
  <si>
    <t>aejyQIH2k20</t>
  </si>
  <si>
    <t>5PE4zTRUf4U</t>
  </si>
  <si>
    <t>Premium 2.5 BHK in Sai World Dreams Dombivli | New Flat with World-Class Amenities | Call 7021988393</t>
  </si>
  <si>
    <t>4Funh5JbNDI</t>
  </si>
  <si>
    <t>Raunak Earth Park Kalyan West | Raunak City Township Drone View | Flats in Kalyan | Call 7021988393</t>
  </si>
  <si>
    <t>aLKvP5Hst2k</t>
  </si>
  <si>
    <t>m-N5cwNpRPQ</t>
  </si>
  <si>
    <t>Call 7021988393 | Dombivli East ka Bramhand | 1, 2 &amp; 3BHK Flats in Dombivli | Ira insignia</t>
  </si>
  <si>
    <t>GptZF0kixqM</t>
  </si>
  <si>
    <t>Call 7021988393 | Tata Amantra 2BHK Sample Flat Tour | Affordable 2BHK Flat in Kalyan West</t>
  </si>
  <si>
    <t>SJYEsRmCY9E</t>
  </si>
  <si>
    <t>Inside Tharwani Majestic Towers Kalyan | Luxury 2BHK Sample Flat Tour | Call 7021988393</t>
  </si>
  <si>
    <t>P8KBHjsfkKw</t>
  </si>
  <si>
    <t>fSkGQxQIScc</t>
  </si>
  <si>
    <t>Call 7021988393 | Kohinoor Highland Dombivli | Budget Luxurious Project in Dombivli</t>
  </si>
  <si>
    <t>CmJc-Np1BJA</t>
  </si>
  <si>
    <t>3eBe3ifEwE0</t>
  </si>
  <si>
    <t>Call 7021988393 | 2BHK Flat in 1BHK Price | Kohinoor Highland Dombivli East</t>
  </si>
  <si>
    <t>2wVfrHMGhWM</t>
  </si>
  <si>
    <t>Kalyan East 1 BHK Flats for Sale | Sai Altezaa New Launch Homes |Call 7021988393</t>
  </si>
  <si>
    <t>bDwAcsPBb4g</t>
  </si>
  <si>
    <t>Call 7021988393 | Dombivli Me Nature Surrounded Homes | 2BHK Sample Flat of Nivasa Green City</t>
  </si>
  <si>
    <t>rwK-r9yaHv4</t>
  </si>
  <si>
    <t>Call 7021988393 | 2BHK Sample Flat of Regency Avana Kalyan | Best Luxurious Project in Kalyan</t>
  </si>
  <si>
    <t>r3bxDNopfDI</t>
  </si>
  <si>
    <t>Godrej Riviera Kalyan | Lush Greenery &amp; Riverside Bliss | #gharjunction #kalyan #realestate #shorts</t>
  </si>
  <si>
    <t>NNe62upyGyI</t>
  </si>
  <si>
    <t>Godrej Vihaa Sky Garden Badlapur | Luxury 1BHK Sample Flat Tour | Call 7021988393</t>
  </si>
  <si>
    <t>T03iLhDXH4g</t>
  </si>
  <si>
    <t>Call 7021988393 | 1BHK Premium Flat in Dombivli East | Anandi Imperial | Ready To Move Luxury Homes</t>
  </si>
  <si>
    <t>uPBu33_R-4Y</t>
  </si>
  <si>
    <t>Call 7021988393 | Kalyan Ka Big Empire | Luxury Flats by Tharwani Vedant Empire Kalyan</t>
  </si>
  <si>
    <t>Zf8jeC6ABfM</t>
  </si>
  <si>
    <t>Balaji Sarvoday Thakurli 2 BHK Sample Flat Tour | Reviews &amp; Location Details | Call 7021988393</t>
  </si>
  <si>
    <t>tnbottIdyHI</t>
  </si>
  <si>
    <t>Call 7021988393 | 1BHK Flat in Kalyan West | Manokamana Project Beside Singhania School</t>
  </si>
  <si>
    <t>dvtdLm702GI</t>
  </si>
  <si>
    <t>piN5QUCVvZk</t>
  </si>
  <si>
    <t>Kalyan West Sarvoday Marvel | 1 &amp; 2 BHK Flats for Sale in Khadakpada Kalyan | Call 7021988393</t>
  </si>
  <si>
    <t>uaZYU0U6RJE</t>
  </si>
  <si>
    <t>1 BHK Flat in Kalyan West Khadakpada | Sarvoday Classic 1 BHK Flat | 1 BHK Flat | Call 7021988393</t>
  </si>
  <si>
    <t>IfbEx_xtYWg</t>
  </si>
  <si>
    <t>Call 7021988393 | 2BHK Luxury Spacious Flat in Kalyan with Big Balcony | Mehta Altura Kalyan West</t>
  </si>
  <si>
    <t>dEQe-BZtyIs</t>
  </si>
  <si>
    <t>Kalyan Vihar Kalyan West | 1 Bhk Flat For Sale In Kalyan | Flat In Kalyan Near Station | 7021988393</t>
  </si>
  <si>
    <t>4bVTYdBybzY</t>
  </si>
  <si>
    <t>BJfBT3AWB74</t>
  </si>
  <si>
    <t>Call 7021988393 | Raunak Earth Park Kalyan West | 3BHK Luxury Sample Flat Tour</t>
  </si>
  <si>
    <t>cO_6tW9W2EU</t>
  </si>
  <si>
    <t>u-T8EVJL2y8</t>
  </si>
  <si>
    <t>Kohinoor Anaya Ulhasnagar | Project Model &amp; Location Details | New Projects Kalyan | Call 7021988393</t>
  </si>
  <si>
    <t>Efcov3fqVNI</t>
  </si>
  <si>
    <t>Mahindra Happinest Kalyan | 1 &amp; 2 BHK Flats at Bhiwandi-Kalyan Corridor</t>
  </si>
  <si>
    <t>9nA3rQLoVD4</t>
  </si>
  <si>
    <t>Metro Pride 2BHK Sample Flat | 5Min from Thakurli, 10Min from Dombivli | Call 7021988393 #shorts</t>
  </si>
  <si>
    <t>Pp8fD-RB5NA</t>
  </si>
  <si>
    <t>8Wk6QwbqgVc</t>
  </si>
  <si>
    <t>Kohinoor Eden Kalyan East | 1 &amp; 2BHK Sample Flat | Full Detail with Clubhouse Tour | Call 7021988393</t>
  </si>
  <si>
    <t>O8k3ggO266k</t>
  </si>
  <si>
    <t>Rusttagi Aarambha 1 BHK Flat for Sale in Titwala | Affordable Luxury by Rustagi | Call 7021988393</t>
  </si>
  <si>
    <t>Klv1wvYhLDg</t>
  </si>
  <si>
    <t>Call 7021988393 | Spacious Luxury 2BHK Flat in Kalyan | 2 BHK in Kalyan West Khadakpada</t>
  </si>
  <si>
    <t>vRtHNio8-qE</t>
  </si>
  <si>
    <t>Kulswamini Pride Dombivli | 1 &amp; 2 BHK Premium Flats for Sale | Ready to Move Homes | Call 7021988393</t>
  </si>
  <si>
    <t>bgQnV_FSurk</t>
  </si>
  <si>
    <t>Birla Vanya Kalyan | Luxurious Life Designed Homes | Drone View &amp; Project Overview | Call 7021988393</t>
  </si>
  <si>
    <t>2JZh7hp_ggQ</t>
  </si>
  <si>
    <t>Anandi Imperial Dombivli East | 1 &amp; 2 BHK Big Carpet Flats | New Project Dombivli | Call 7021988393</t>
  </si>
  <si>
    <t>5-YYt8IhUhE</t>
  </si>
  <si>
    <t>Call 7021988393 | Kohinoor Uptown 1BHK Flat with Gifts | Biggest Carpet At Lowest Price</t>
  </si>
  <si>
    <t>H7z4fueTuxI</t>
  </si>
  <si>
    <t>Call 7021988393 | Super Spacious 1BHK Flat in Kalyan | Ready To Move Project in Kalyan</t>
  </si>
  <si>
    <t>bo87kIA7oYk</t>
  </si>
  <si>
    <t>2 BHK Flat In Kalyan West | 2 BHK Flat For Sale In Kalyan | Sample Flat | Call 7021988393</t>
  </si>
  <si>
    <t>3T_MWFSutsg</t>
  </si>
  <si>
    <t>Call 7021988393 | Kalyan Aashiyana 1BHK Sample Flat Tour | Ready To Move Project in Kalyan</t>
  </si>
  <si>
    <t>3_trq3Q2rB0</t>
  </si>
  <si>
    <t>Call 7021988393 | Kohinoor Gardens Shahad | 2BHK Luxury Flat Near Kalyan Station | Flat Video Tour</t>
  </si>
  <si>
    <t>o1QCJksM4fA</t>
  </si>
  <si>
    <t>Call 7021988393 | Sahyadri Elite 1BHk Sample Flat Tour | Kalyan East Premium Project in Kalyan</t>
  </si>
  <si>
    <t>8jtQTzmf0OE</t>
  </si>
  <si>
    <t>Call 7021988393 | Sai World Dreams Dombivli East | 1 &amp; 2 BHK Actual Flat Tour | Review &amp; Location</t>
  </si>
  <si>
    <t>JSBc25Wt9EY</t>
  </si>
  <si>
    <t>n1Do3zXMNic</t>
  </si>
  <si>
    <t>Aastha Omkar Titwala | 1BHK Luxury Flat Tour | Premium Homes Near Titwala Station | Call 7021988393</t>
  </si>
  <si>
    <t>Goe36Iz2kOw</t>
  </si>
  <si>
    <t>8VcY0oCS-iY</t>
  </si>
  <si>
    <t>Call 7021988393 | Kalyan East Ka Premium Project with Premium Facilities | Druga Imperial Kalyan</t>
  </si>
  <si>
    <t>BzxXJ3wFGlA</t>
  </si>
  <si>
    <t>KwEEHZ4zXcw</t>
  </si>
  <si>
    <t>exuzJyrmyAE</t>
  </si>
  <si>
    <t>7Oyi0KB2cxU</t>
  </si>
  <si>
    <t>Mega Pearl Titwala | 1BHK Actual Flat Tour | Flats in Titwala Near Station | Call 7021988393</t>
  </si>
  <si>
    <t>ZQFm2mGWj80</t>
  </si>
  <si>
    <t>Most Luxury Project in Kalyan West | Mohan Altezza 2, 3 &amp; 4 BHK Apartment | Call 7021988393</t>
  </si>
  <si>
    <t>opsvnOxXIKM</t>
  </si>
  <si>
    <t>Call 7021988393 | Siyara Fortune 1BHK Sample Flat | Premium Flats in Bhiwandi</t>
  </si>
  <si>
    <t>3GMoe47Qf5I</t>
  </si>
  <si>
    <t>Call 7021988393 | Kalyan Me Sabse Sasta Project with Badha Carpet | Kalyan Aashiyana Kalyan West</t>
  </si>
  <si>
    <t>R2Sw01sWn4M</t>
  </si>
  <si>
    <t>UfBY0BhdyWY</t>
  </si>
  <si>
    <t>SXVVw7nXZNw</t>
  </si>
  <si>
    <t>Cg56UdbkUE4</t>
  </si>
  <si>
    <t>Elite Galaxy Dombivli | Luxury Budget Project in Dombivli | Call 7021988393</t>
  </si>
  <si>
    <t>tnPM4q5JCE4</t>
  </si>
  <si>
    <t>Kohinoor Highland Dombivli | Luxury Clubhouse Tour | 35+ World-Class Amenities | Call 7021988393</t>
  </si>
  <si>
    <t>d-mx_R1AUSU</t>
  </si>
  <si>
    <t>v7oiJ0wXR4M</t>
  </si>
  <si>
    <t>Call 7021988393 | Birla Vanya 4BHK Luxury Spacious Flat | Luxury Flats in Kalyan West | Birla Vanya</t>
  </si>
  <si>
    <t>B3T48CRQwUY</t>
  </si>
  <si>
    <t>Raunak Earth Park Kalyan West | 3BHK Sample Flat Tour | Raunak City Kalyan West | Call 7021988393</t>
  </si>
  <si>
    <t>X2cW9b4FG_Q</t>
  </si>
  <si>
    <t>Call 7021988393 | 1BHK Luxury Flat Tour in Kalyan East | Panchratna Sapphire | New Property 2025</t>
  </si>
  <si>
    <t>B7h4qdrzTTY</t>
  </si>
  <si>
    <t>Krishna Trident 2BHK Sample Flat | Premium Budget Flats in Kalyan | Call 7021988393</t>
  </si>
  <si>
    <t>388VaDlkAI8</t>
  </si>
  <si>
    <t>owMl56JsjrM</t>
  </si>
  <si>
    <t>Call 7021988393 | 2BHK Luxury Flat in Kalyan West | 2 BHK in Kalyan West Khadakpada</t>
  </si>
  <si>
    <t>9Zu_tPsBPtU</t>
  </si>
  <si>
    <t>VidiOHvIX2k</t>
  </si>
  <si>
    <t>2BHK Luxury Sample Flat Tour at Triveni Pearl | Premium Living in Kalyan West | Call 7021988393</t>
  </si>
  <si>
    <t>SBJtV416T74</t>
  </si>
  <si>
    <t>FOvofQszK8g</t>
  </si>
  <si>
    <t>k3QqLTLxdNc</t>
  </si>
  <si>
    <t>Mehta Altura Kalyan West | 2BHk Sample Spacious Flat in Kalyan | Call 7021988393</t>
  </si>
  <si>
    <t>wr3ul3-ZZ6Y</t>
  </si>
  <si>
    <t>Spacious 1 BHK Flat for Sale in Kalyan East | Krishna Ultima Full Review | Call 7021988393</t>
  </si>
  <si>
    <t>zyio9xY9oRo</t>
  </si>
  <si>
    <t>5MRKGJLacCw</t>
  </si>
  <si>
    <t>Sahyadri Elite Kalyan East 1 BHK Flat for Sale | 1 BHK Flat In Kalyan | 1 BHK Flat | Call 7021988393</t>
  </si>
  <si>
    <t>TlWt0AVrQnU</t>
  </si>
  <si>
    <t>t_gcvHxffK4</t>
  </si>
  <si>
    <t>Call 7021988393 | Kalyan Ka Best Budget 1BHK Flat | Kalyan Vihar Sample Flat Tour</t>
  </si>
  <si>
    <t>I78P35ig0fk</t>
  </si>
  <si>
    <t>Kalyan Dombivli Railway Line Me Behtareen Project | Amber One Thakurli | Call 7021988393</t>
  </si>
  <si>
    <t>KvsLLY9YDrE</t>
  </si>
  <si>
    <t>hxNOI0gITyI</t>
  </si>
  <si>
    <t>Stunning 1BHK Sample Flat Tour | Codename Malabar Hill, Badlapur | Call 7021988393</t>
  </si>
  <si>
    <t>qE-0B9llTuM</t>
  </si>
  <si>
    <t>JNJ_NDRdS9M</t>
  </si>
  <si>
    <t>NeHH95oMvR8</t>
  </si>
  <si>
    <t>Call 7021988393 | Big Carpet Area Flat in Kalyan West | Kalyan Aashiyana Kalyan West</t>
  </si>
  <si>
    <t>wwJ8SAQ91jM</t>
  </si>
  <si>
    <t xml:space="preserve"> -SFM4USdmN0</t>
  </si>
  <si>
    <t>Call 7021988393 | Lodha Crown Dombivli 2 BHK Luxury Flat | Lodha Crown Dombivli Price</t>
  </si>
  <si>
    <t>7Qyy844rmQY</t>
  </si>
  <si>
    <t>Call 7021988393 | Ghar Mela 2.0 | New Homes in Kalyan at Affordable Price | Kalyan Group</t>
  </si>
  <si>
    <t>H0e8qdthuKg</t>
  </si>
  <si>
    <t>Godrej Vihaa Badlapur 2 BHK price | Best Flats in Badlapur | Godrej Properties | Call 7021988393</t>
  </si>
  <si>
    <t>WiBXT7BAD7c</t>
  </si>
  <si>
    <t>qpfjUl4722s</t>
  </si>
  <si>
    <t>Call 7021988393 | Anand Imperial Kalyan | 1 &amp; 2BHK Affordable Luxury Flats | New Launch in Kalyan</t>
  </si>
  <si>
    <t>GHd1NMbwk_4</t>
  </si>
  <si>
    <t>Hiranandani Kalyan 1 BHK Sample Flat Video | Hiranandani Woodspring Kalyan | Sample Flat, 7021988393</t>
  </si>
  <si>
    <t>xfF2Km-zQLU</t>
  </si>
  <si>
    <t>2 BHK Flat in Dombivli East | 2 BHK Flat For Sale In Dombivli | Lodha Crown Flat | Call 7021988393</t>
  </si>
  <si>
    <t>DmdRxFTcGAY</t>
  </si>
  <si>
    <t>Affordable 2BHK Homes in Dombivli | Elite Galaxy Dombivli | Explore Sample Flat |Call 7021988393</t>
  </si>
  <si>
    <t>KSupzYSgwx0</t>
  </si>
  <si>
    <t>cWAcZZ6iuuA</t>
  </si>
  <si>
    <t>Call 7021988393 | Waah Taj Kalyan West | Codename Waah Taj | 2 BHK Sample Flat &amp; Project Details</t>
  </si>
  <si>
    <t>cpdQnCOvlFo</t>
  </si>
  <si>
    <t>Elite Galaxy Dombivli | Fully Furnished 1 &amp; 2 BHK Flat for Sale in Dombivli | Call 7021988393</t>
  </si>
  <si>
    <t>EZSbvsdE1vo</t>
  </si>
  <si>
    <t>Magus City Kalyan | 1 &amp; 2 BHK Under Construction Luxurious Flats in Kalyan | Call 7021988393</t>
  </si>
  <si>
    <t>0Qz3txrAegg</t>
  </si>
  <si>
    <t>Call 7021988393 | Badlapur ka Most Awaited Real Estate Project | Godrej Vihaa Badlapur</t>
  </si>
  <si>
    <t>NbIPIskNp2g</t>
  </si>
  <si>
    <t>Call 7021988393 | Ornate Rise 2BHK Luxury Flat in Kalyan | Affordable Flats in Kalyan</t>
  </si>
  <si>
    <t>86E4a6-cy3M</t>
  </si>
  <si>
    <t>1 BHK Sample Flat Tour | Godrej Riviera Kalyan | Call 7021988393 | Call 7021988393</t>
  </si>
  <si>
    <t>8IO0fUA_QP4</t>
  </si>
  <si>
    <t>Lodha Hanging Gardens Palava | 3 &amp; 4 BHK Flats | Ultra Luxury Living in Dombivli | Call 7021988393</t>
  </si>
  <si>
    <t>GQS2afanTs0</t>
  </si>
  <si>
    <t>Call 7021988393 | 1, 2 &amp; 3BHK Luxury Flats in Kalyan | Near Metro Mall Kalyan</t>
  </si>
  <si>
    <t>yfvI1kVvrYM</t>
  </si>
  <si>
    <t>G7cq_gP0-0w</t>
  </si>
  <si>
    <t>XHHI-rVHnB0</t>
  </si>
  <si>
    <t>Call 7021988393 | Affordable Luxury Flat in Badlapur | Mohan Alcoves Badlapur</t>
  </si>
  <si>
    <t>3usXfQX756Q</t>
  </si>
  <si>
    <t>Call 7021988393 | Spacious 1BHK Flat in Shahad Kalyan | Kohinoor Gardens 1 &amp; 2 BHK Residency Project</t>
  </si>
  <si>
    <t>WwFx0boyJf4</t>
  </si>
  <si>
    <t>Arihant Aaradhya Kalyan | 1 BHK Sample Flat Tour | Modern &amp; Spacious Design | Call 7021988393</t>
  </si>
  <si>
    <t>8iwzceyOj7w</t>
  </si>
  <si>
    <t>1 &amp; 2 BHK Flats in Thakurli | Full Project Details | 1 &amp; 2 BHK Flats For Sale | Call 7021988393</t>
  </si>
  <si>
    <t>m05Hum9X930</t>
  </si>
  <si>
    <t>Affordable 1 &amp; 2 BHK Flats in Kalyan | Magus City Kalyan | RERA Approved Township | Call 7021988393</t>
  </si>
  <si>
    <t>nx3g-io9ZJk</t>
  </si>
  <si>
    <t>Call 7021988393 | Sagar Homes Kalyan | 1 &amp; 2 BHK Flats with Balcony | Ready to Move Homes in Kalyan</t>
  </si>
  <si>
    <t>QrDz1Nf1q5k</t>
  </si>
  <si>
    <t>hUNi1Hyckls</t>
  </si>
  <si>
    <t>Spacious 2 BHK Homes in Kalyan West | Sai Raj Altezza Kalyan West | Call 7021988393</t>
  </si>
  <si>
    <t>ED0w3kecKIw</t>
  </si>
  <si>
    <t>Kohinoor Prime Shahad | 1 &amp; 2 BHK Flats starting @ 35Lacs* | Call 7021988393</t>
  </si>
  <si>
    <t>zudwmlAMWt4</t>
  </si>
  <si>
    <t>NZgzq4eVp1I</t>
  </si>
  <si>
    <t>Barku Heights Flats for Sale | 1 BHK Homes in Kalyan East | 1 BHK Flat In Kalyan | Call 7021988393</t>
  </si>
  <si>
    <t>I-v1BITUNio</t>
  </si>
  <si>
    <t>Call 7021988393 | Anandi Imperial Dombivli 1BHK Actual Flat Tour | Spacious Homes in Dombivli</t>
  </si>
  <si>
    <t>PX0Lr7YRPCA</t>
  </si>
  <si>
    <t>Call 7021988393 | 1BHK in 34 Lakh in Kalyan | Most Affordable Flat in Kalyan</t>
  </si>
  <si>
    <t>zZ2d2mEJKF8</t>
  </si>
  <si>
    <t>9Zfgm6LFdRU</t>
  </si>
  <si>
    <t>Call 7021988393 | Kingsman Residency Kalyan West | Luxury Living in Kalyan West | Flat in Khadakpada</t>
  </si>
  <si>
    <t>fDcBT9EEWkE</t>
  </si>
  <si>
    <t>The Tallest Residential Tower in Kalyan | Krishna Trident Project Model | Call 7021988393</t>
  </si>
  <si>
    <t>yNdKb0oVU3k</t>
  </si>
  <si>
    <t>Call 7021988393 | New Project Launch in Kalyan | Mohan Prestige 4 BHK Luxury Flats</t>
  </si>
  <si>
    <t>GQ3o3saMgko</t>
  </si>
  <si>
    <t>Call 7021988393 | Kalyan Me Modern Amenities ke Sath 1BHK Budget Flat | Kalyan Residency</t>
  </si>
  <si>
    <t>wCnDJvQoeSY</t>
  </si>
  <si>
    <t>Ready To Move 1 BHK Flat For Sale In Kalyan | Sarvoday Onyx Kalyan West | Call 7021988393</t>
  </si>
  <si>
    <t>7rl072nasMQ</t>
  </si>
  <si>
    <t>Call 7021988393 | Piramal Vaikunth Thane | 1.5 BHK Sample Flat Tour | Ready to Move Flats in Thane</t>
  </si>
  <si>
    <t>CY2yhB9ohj8</t>
  </si>
  <si>
    <t>Krishna Trident Kalyan East | 2BHK Luxury Flats | Tallest Tower with Top Amenities | Call 7021988393</t>
  </si>
  <si>
    <t>1K0he4ufqsY</t>
  </si>
  <si>
    <t>Call 7021988393 | 2BHK FURNISHED FLAT IN KALYAN WEST | SIYARA DHAM KALYAN BHIWANDI</t>
  </si>
  <si>
    <t>9Out36sp6TE</t>
  </si>
  <si>
    <t>Call 7021988393 | Tharwani Vedant Nakshatra | 2 BHK Flat in Badlapur West Near Station</t>
  </si>
  <si>
    <t>fabrQ7R4-ys</t>
  </si>
  <si>
    <t>Vikas Ritz Kalyan West | Ritz Vikas Kalyan West | 1 BHK | 2 BHK | 3 BHK | 7021988393</t>
  </si>
  <si>
    <t>eQX0PsHwMfE</t>
  </si>
  <si>
    <t>Call 7021988393 | Commercial Property for Sale in Dombivli | Globe Estate Next | Shops &amp; Offices</t>
  </si>
  <si>
    <t>a07emIFFj9s</t>
  </si>
  <si>
    <t>Spacious 2BHK Sample Flat Tour | Tulsi Aawas Badlapur | Raj Group | Call 7021988393</t>
  </si>
  <si>
    <t>OEJj5A37UY8</t>
  </si>
  <si>
    <t>Tulip Heights Kalyan | Spacious 2 BHK Flat Tour | Project Details | Call 7021988393</t>
  </si>
  <si>
    <t>PhU4RyxspUo</t>
  </si>
  <si>
    <t>Xy8rctyywK8</t>
  </si>
  <si>
    <t>Call 7021988393 | Dombivli Me Luxury 2BHK Flat Bilkul Aapke Budget Me | Vastu Luxuria</t>
  </si>
  <si>
    <t>OrhKodJUn6Q</t>
  </si>
  <si>
    <t>Kohinoor Highland Dombivli East | 1&amp;2 BHK Flat For Sale in Dombivli | Drone View | Call 7021988393</t>
  </si>
  <si>
    <t>SYAXxgHRy_A</t>
  </si>
  <si>
    <t>Purva Panorama Thane | 2BHK Luxurious Show Flat Tour | Purvankara Ghodbunder Road | Call 7021988393</t>
  </si>
  <si>
    <t>GvvJkMa23ZQ</t>
  </si>
  <si>
    <t>Call 7021988393 | SPACIOUS LUXURY 2BHK FLAT IN KALYAN | SAI PARK STREET KALYAN</t>
  </si>
  <si>
    <t>Vn72Bk_mVJw</t>
  </si>
  <si>
    <t>l2WY7b_ngXg</t>
  </si>
  <si>
    <t>Kalyan West 1 BHK Flat Low Price | Haware My First Home Project | 1 BHK Flat | Call 7021988393</t>
  </si>
  <si>
    <t>rtvs_T7evw8</t>
  </si>
  <si>
    <t>Balaji Vishant Dombivli | Balaji Vishant Balaji Projects in Dombivli | 1 &amp; 2BHK Flats in Dombivli</t>
  </si>
  <si>
    <t>grGwoNIu6mg</t>
  </si>
  <si>
    <t>Flat Starts From 43.99 Lacs* Onwards | Affordable Luxury Project in Kalyan | Call 7021988393</t>
  </si>
  <si>
    <t>43mJjcUJErM</t>
  </si>
  <si>
    <t>Call 7021988393 | Raunak Maximum City Thane | 2BHK Sample Flat Tour | Thane Residential Properties</t>
  </si>
  <si>
    <t>qnKTrn4kwIc</t>
  </si>
  <si>
    <t>Ready to Move Flats in Kalyan West | Tata Amantra 2 BHK | Tata Housing Amantra Bhiwandi Maharashtra</t>
  </si>
  <si>
    <t>wbqvPgrpwkw</t>
  </si>
  <si>
    <t>Dombivli Ka Shaandar Real Estate Project | Sunraj Solitaire Dombivli | Call 7021988393</t>
  </si>
  <si>
    <t>N5pfq3HColE</t>
  </si>
  <si>
    <t>Mangeshi Jupiter 2BHK Sample Flat Tour | Affordable Luxury Project in Kalyan | Call 7021988393</t>
  </si>
  <si>
    <t>fNQt6QlSfkA</t>
  </si>
  <si>
    <t>Kalpataru Park City Kolshet Road Thane West | 2 BHK &amp; 3 BHK Flats for Sale | Call 7021988393</t>
  </si>
  <si>
    <t>BkyLue0OyKo</t>
  </si>
  <si>
    <t>Call 7021988393 | Luxurious Living with Kohinoor Uptown Kalyan | 1BHK Sample Flat Tour</t>
  </si>
  <si>
    <t>HNi5Tsgqjm4</t>
  </si>
  <si>
    <t>DB5fyDy8fac</t>
  </si>
  <si>
    <t>Tata Amantra Clubhouse Tour | 2 &amp; 3BHK Luxury Flats in Kalyan | Call 7021988393</t>
  </si>
  <si>
    <t>ILCknkgH4dc</t>
  </si>
  <si>
    <t>Kohinoor Eden Kalyan East | 1BHK Sample Flat Tour | Kohinoor Eden Location &amp; Price | Call 7021988393</t>
  </si>
  <si>
    <t>WbTYkgN-gLQ</t>
  </si>
  <si>
    <t>Call 7021988393 | 2BHK Flat Near Kalyan Railway Station | Luxury Homes in Kalyan | Tanishq</t>
  </si>
  <si>
    <t>_XUPjYV_GGc</t>
  </si>
  <si>
    <t>Kalyan Me Aapke Budget Me 2BHK Spacious Flat | Seasons Green Kalyan West | Call 7021988393</t>
  </si>
  <si>
    <t>jGFKCfhO9bA</t>
  </si>
  <si>
    <t>Call 7021988393 | Ajmera One 1BHK Ultra Luxury Flat in Kalyan | New &amp; Ready To Move Project</t>
  </si>
  <si>
    <t>lHjZB1DM7_k</t>
  </si>
  <si>
    <t>Call 7021988393 | Godrej Upavan 2BHK Sample Flat Tour | Affordable Luxury Project by Godrej</t>
  </si>
  <si>
    <t>J43Qg85v-7c</t>
  </si>
  <si>
    <t>Live Dubai Life in Dombivli | Sai World Dreams Dombivli | 1 &amp; 2 BHK Spacious Flat | Call 7021988393</t>
  </si>
  <si>
    <t>g0wwoI5A0Zw</t>
  </si>
  <si>
    <t>Call 7021988393 | Ultra Luxurious Premium Residences in Dombivli | Lodha Hanging Gardens Palava</t>
  </si>
  <si>
    <t>U-Xp4DSO5Vg</t>
  </si>
  <si>
    <t>New project in kalyan | Kohinoor Uptown Project Near D-Mart</t>
  </si>
  <si>
    <t>URC-IzKUvXI</t>
  </si>
  <si>
    <t>2 BHK Flat for Sale in Kalyan East | Premium Home Tour at Rai Residency | Call 7021988393</t>
  </si>
  <si>
    <t>nnmhBhTtPIY</t>
  </si>
  <si>
    <t>Godrej Exquisite Thane | 3 BHK Show Flat Tour | Premium Homes in Thane West | Call 7021988393</t>
  </si>
  <si>
    <t>Pqm5nWMS4cg</t>
  </si>
  <si>
    <t>RLFYWTXQm88</t>
  </si>
  <si>
    <t>Call 7021988393 | 3BHK Luxury Flat in Kalyan | Rai Residency | Rai Ashtami Kalyan 3BHK Flat</t>
  </si>
  <si>
    <t>xSTHI58Rqck</t>
  </si>
  <si>
    <t>Arihant Aaradhya Kalyan | 1 Bhk Flats For Sale In Kalyan | 2 Bhk Flats For Sale In Kalyan 7021988393</t>
  </si>
  <si>
    <t>7IM-B_RRLFI</t>
  </si>
  <si>
    <t>Call 7021988393 | Luxurious Spacious Home in Kalyan | 2BHK Sample Flat of Tharwani Vedant Palacia</t>
  </si>
  <si>
    <t>9F39J6pOf8E</t>
  </si>
  <si>
    <t>Kalyan Surabhi Homes | 1 BHK Flat for Sale in Kalyan | Modern Amenities | Call 7021988393</t>
  </si>
  <si>
    <t>RQ1kXneI648</t>
  </si>
  <si>
    <t>Kalyan Residency 1BHK Flat Tour | Affordable Homes in Kalyan West | Call 7021988393</t>
  </si>
  <si>
    <t>kqDdn2Rhvm0</t>
  </si>
  <si>
    <t>gqmhLxs-XoE</t>
  </si>
  <si>
    <t>2 Bhk Flats Under 35 Lakhs in Kalyan West | Projects in Kalyan West | Low Budget Flats Under 35 Lakh</t>
  </si>
  <si>
    <t>TL5RUFlhBD8</t>
  </si>
  <si>
    <t>Office Space for Sale in Vikhroli Mumbai | Lodha Codename Rare Fortune | Best Commercial Property</t>
  </si>
  <si>
    <t>hpWZnTwiFJg</t>
  </si>
  <si>
    <t>HX_yzgsv98o</t>
  </si>
  <si>
    <t>2 BHK Flat for Sale in Kalyan West | Chavan Advaitam Price, Reviews &amp; Details | Call 7021988393</t>
  </si>
  <si>
    <t>5wtYXO1YTow</t>
  </si>
  <si>
    <t>dLHoMM642r4</t>
  </si>
  <si>
    <t>a0bdrZdypwM</t>
  </si>
  <si>
    <t>Premium 1 BHK, 2 BHK Flats Kalyan East | Sonawane Group Property | Krishna Trident | Call 7021988393</t>
  </si>
  <si>
    <t>uo-Zn-UxlXI</t>
  </si>
  <si>
    <t>cLn8TLa_i3o</t>
  </si>
  <si>
    <t>Seasons Sahara Kalyan East | 2 BHK Sample Flat with Balcony | New Construction Project near Station</t>
  </si>
  <si>
    <t>3a9ggwxk25I</t>
  </si>
  <si>
    <t>Call 7021988393 | Kalyan Me Sirf 45L Me 2BHK Spacious Flat | Mountain Dream City Kalyan</t>
  </si>
  <si>
    <t>DL5nuXt6ujs</t>
  </si>
  <si>
    <t>KIbZSZVQnlM</t>
  </si>
  <si>
    <t>Call 7021988393 | Most Affordable Mangeshi Project in Kalyan Ambivli | 1BHK Sample Flat Tour</t>
  </si>
  <si>
    <t>ACaAfFT4bBM</t>
  </si>
  <si>
    <t>zscdUW6PRGg</t>
  </si>
  <si>
    <t>Call 7021988393 | Kohinoor Gardens Shahad | Spacious 1 &amp; 2 BHK Flats with Modern Amenities</t>
  </si>
  <si>
    <t>gwLmnGz3KDo</t>
  </si>
  <si>
    <t>Titwala Me Sirf 17 Lakh Me Mil Raha hai 1BHK Flat | Shubharambh Titwala | Call 7021988393</t>
  </si>
  <si>
    <t>47QvYz0zZQo</t>
  </si>
  <si>
    <t>jFMij3AKKjA</t>
  </si>
  <si>
    <t>Call 7021988393 | Kohinoor Eden Kalyan East | Affordable 2BHK Flat in Kalyan | Flat in Kalyan</t>
  </si>
  <si>
    <t>hM_tHXJjSec</t>
  </si>
  <si>
    <t>Kalyan West 2 BHK Flat For Sale | Latest Price &amp; Location | Chavan advaitam 2 BHK | Call 7021988393</t>
  </si>
  <si>
    <t>g1l4Nr1aVos</t>
  </si>
  <si>
    <t>Mehta Legend Thane | Luxury 1 BHK Flat For Sale in Thane | Call 7021988393</t>
  </si>
  <si>
    <t>npVxKdvChlk</t>
  </si>
  <si>
    <t>House of Hiranandani 2BHK Sample Flat | Luxury Budget Flats in Kalyan | Call 7021988393</t>
  </si>
  <si>
    <t>zqJnWIxaFPA</t>
  </si>
  <si>
    <t>Dombivli Ka Prime Project | Lodha Crown 2BHK Sample Flat Tour | Call 7021988393</t>
  </si>
  <si>
    <t>69nWVGUeJuE</t>
  </si>
  <si>
    <t>Kohinoor Uptown Kalyan West | 1 &amp; 2 BHK Balcony Homes | Affordable Luxury Flats | Call 7021988393</t>
  </si>
  <si>
    <t>xxpDxow8Pns</t>
  </si>
  <si>
    <t>Premium 2BHK Flats for Sale | Palika Junomoneta Kalyan West | Tour &amp; Price Details | Call 7021988393</t>
  </si>
  <si>
    <t>WESgA-B9dh8</t>
  </si>
  <si>
    <t>2 BHK Flat for Sale in Kalyan West | Chavan Advaitam Project | Kalyan West Flat | Call 7021988393</t>
  </si>
  <si>
    <t>vHbZLgAdLPk</t>
  </si>
  <si>
    <t>Call 7021988393 | Rustomjee Urban Woods 1BHK Sample Flat Tour | Price Starting at 49Lakh Onward</t>
  </si>
  <si>
    <t>xwWIr3Dk1Gc</t>
  </si>
  <si>
    <t>White Square Kalyan Sample Flat | 2, 3 &amp; 4BHK Luxury Flats in Kalyan West | Call 7021988393</t>
  </si>
  <si>
    <t>hBfHfNnZBio</t>
  </si>
  <si>
    <t>aZ8KNniYEYY</t>
  </si>
  <si>
    <t>Hiranandani Kalyan | Hiranandani Woodspring Kalyan | House Of Hiranandani Kalyan | Project Tour</t>
  </si>
  <si>
    <t>q2hcavNlrbg</t>
  </si>
  <si>
    <t>_wJARL5sGM0</t>
  </si>
  <si>
    <t>Shubharambh Titwala 1 BHK Show Flat Tour | 1 BHK in Titwala | Best Titwala Project | Call 7021988393</t>
  </si>
  <si>
    <t>TUXKdsGXQOM</t>
  </si>
  <si>
    <t>Call 7021988393 | Rai Galaxy Kalyan East | 1 BHK UC Flat Tour Kalyan | Flat for Sale in Kalyan</t>
  </si>
  <si>
    <t>do4dipp8CZ8</t>
  </si>
  <si>
    <t>Marathe New Project Titwala | Spacious 1 &amp; 2 BHK Flats for Sale | Living in Budget | Call 7021988393</t>
  </si>
  <si>
    <t>B9YmdTaf_08</t>
  </si>
  <si>
    <t>Call 7021988393 | 2BHK Luxury Flat in Kalyan | House of Hiranandani 2BHK Sample Flat Tour</t>
  </si>
  <si>
    <t>4VAdd4iHt1k</t>
  </si>
  <si>
    <t>Call 7021988393 | Kalyan Main Best Location aur Connectivity Ke Sath Luxury Spacious 2BHK Flat</t>
  </si>
  <si>
    <t>fsd1uIX2aZY</t>
  </si>
  <si>
    <t>GQNcjS0JxpQ</t>
  </si>
  <si>
    <t>Call 7021988393 | 2BHK Spacious Flat in Kalyan at Tharwani Vedant Palacia | Flat in Khadakpada</t>
  </si>
  <si>
    <t>QWn-6xDMamA</t>
  </si>
  <si>
    <t>ZIhTDUwYn9s</t>
  </si>
  <si>
    <t>Call 7021988393 | Kidhar Aana Hai! DMart Ke Upar | Look Mohan Altezza in 30 Seconds</t>
  </si>
  <si>
    <t>3_9U427np30</t>
  </si>
  <si>
    <t>Mangeshi Trinity Kalyan | Mangeshi Trinity Kalyan West | Mangeshi Tulip | 1 BHK | 2 BHK | 7021988393</t>
  </si>
  <si>
    <t>ywo5jpEjUL0</t>
  </si>
  <si>
    <t>Up9nYvMIuQo</t>
  </si>
  <si>
    <t>YSquare Thane 2BHK Show Flat Tour | Premium Living on Kolshet Road | Flat in Thane | Call 7021988393</t>
  </si>
  <si>
    <t>Qs2iAVxq78Y</t>
  </si>
  <si>
    <t>Marathe Tower Titwala | Marathe Tower 2 BHK Flat Tour | Flat Near Titwala Mandir | Call 7021988393</t>
  </si>
  <si>
    <t>v3qNIGzkPAw</t>
  </si>
  <si>
    <t>Kalyan Ka Big Empire | Tharwani Vedant Empire 3BHK Raw Flat | Call 7021988393</t>
  </si>
  <si>
    <t>hZOrOJelvZU</t>
  </si>
  <si>
    <t>Xt3NiLPdpGQ</t>
  </si>
  <si>
    <t>Saket Ayodhya City Kalyan East | Saket Nature Vista 2 BHK Sample Flat Tour | Call 7021988393</t>
  </si>
  <si>
    <t>VXVlndqK91s</t>
  </si>
  <si>
    <t>Affordable Flats in Kalyan | Ritz Vikas Sample Flat | Flats with Best Connectivity | Call 7021988393</t>
  </si>
  <si>
    <t>hzGMQtaXT_8</t>
  </si>
  <si>
    <t>Call 7021988393 | Manokamana Kalyan West 2BHK Sample Flat Walkthrough | 1 &amp; 2BHK Flats in Khadakpada</t>
  </si>
  <si>
    <t>04SS8X1y5ec</t>
  </si>
  <si>
    <t>tq8WdAp5Xq0</t>
  </si>
  <si>
    <t>Call 7021988393 | Peaceful Society in Kalyan | Sagar Homes 1BHK Flat Tour | Budget Friendly Homes</t>
  </si>
  <si>
    <t>JhEMq88OVUA</t>
  </si>
  <si>
    <t>Balaji Aqua Khadakpada, Kalyan | Project Model by Balaji World | Call 7021988393 #BalajiAqua #Kalyan</t>
  </si>
  <si>
    <t>nMgWMny-oOM</t>
  </si>
  <si>
    <t>Call 7021988393 | Step Inside Birla Vanya - Where Kalyan Experiences Luxury Like Never Before!</t>
  </si>
  <si>
    <t>__zz-nDFciA</t>
  </si>
  <si>
    <t>3 bhk Flat in Kalyan West | Maatr Skye Kalyan | Call 7021988393</t>
  </si>
  <si>
    <t>tBcmPkNpkKM</t>
  </si>
  <si>
    <t>74ohb-1rjYc</t>
  </si>
  <si>
    <t>Dosti West County Thane West | 2BHK Sample Flat Tour | Luxury Living Thane | Call 7021988393</t>
  </si>
  <si>
    <t>ArF3JX5DqNM</t>
  </si>
  <si>
    <t>Piramal Vaikunth Thane | 1 &amp; 2 BHK Flat Tour + Drone View | Premium Thane Property | Call 7021988393</t>
  </si>
  <si>
    <t>7kB_mmE0DfQ</t>
  </si>
  <si>
    <t>2 BHK Flat for Sale in Thakurli | Metro Luxuria | Premium Living Sample Flat | Call 7021988393</t>
  </si>
  <si>
    <t>VEugGrp_03M</t>
  </si>
  <si>
    <t>PfOGnze7j4E</t>
  </si>
  <si>
    <t>1 BHK | 2 BHK | Ready to Move | Ready Possession | Flats in Kalyan | Flat for Sale in Kalyan</t>
  </si>
  <si>
    <t>aiBMwmfTBtM</t>
  </si>
  <si>
    <t>Call 7021988393 | Metro Pride Thakurli with Modern Lifestyle Amenities | Home at River View Place</t>
  </si>
  <si>
    <t>V34uO_Pc6DY</t>
  </si>
  <si>
    <t>2 BHK Sample Flat Tour | Godrej Riviera Kalyan | Call 7021988393 #gharjunction #realestate #kalyan</t>
  </si>
  <si>
    <t>wzWWLuYoAkA</t>
  </si>
  <si>
    <t>2BHK Luxury Flat in Dombivli | Vastu Luxuria | Premium Living with 40+ Amenities | Call 7021988393</t>
  </si>
  <si>
    <t>AMZjolNgH7c</t>
  </si>
  <si>
    <t>Yqwuw4kIlQI</t>
  </si>
  <si>
    <t>Call 7021988393 | Dombivli Ka Premium Budget Friendly Project | Sunraj Solitaire 1BHK Flat</t>
  </si>
  <si>
    <t>pbEpt-yYudY</t>
  </si>
  <si>
    <t>1 BHK Flat for Sale in Titwala | A1 Living Smart Homes | Sample Flat Tour | Call 7021988393</t>
  </si>
  <si>
    <t>Xs_Ct1wQT-U</t>
  </si>
  <si>
    <t>Luxury 2 BHK Flat for Sale in Kalyan West | Tharwani Majestic Towers 2 BHK Flat | Call 7021988393</t>
  </si>
  <si>
    <t>TawxjMKxJd0</t>
  </si>
  <si>
    <t>3 BHK Flat In Kalyan West | 3 BHK Flat Near D-Mart #dreamavalon</t>
  </si>
  <si>
    <t>q1s6qdufQoI</t>
  </si>
  <si>
    <t>Desai Celeste Kalyan West | Luxurious 2 &amp; 3 BHK Flats | Project Model | Call 7021988393</t>
  </si>
  <si>
    <t>8KYFPitLIKY</t>
  </si>
  <si>
    <t>1 BHK Flat for Sale in Kalyan East | Kalyan East 1 BHK Flats | Kalyan East Flat | Call 7021988393</t>
  </si>
  <si>
    <t>BCldZC4BB8E</t>
  </si>
  <si>
    <t>Call 7021988393 | Ira Insignia Dombivli | Dombivli Ka Shivalay | Spacious Home with Top Amenities</t>
  </si>
  <si>
    <t>UdjJaWO8jW8</t>
  </si>
  <si>
    <t>Codename Malabar Hill Badlapur 2BHK Sample Flat | Kendale Developers | Call 7021988393</t>
  </si>
  <si>
    <t>aGUiTTz3YmQ</t>
  </si>
  <si>
    <t>1BHK Ready to Move Flats in Kalyan West | Biggest Carpet at Affordable Price | Call 7021988393</t>
  </si>
  <si>
    <t>xMDTvDlyEVM</t>
  </si>
  <si>
    <t>Arihant Kalyan New Launch Beachfront Project | Arihant Aaradhya 1 &amp; 2 BHK Flat in Kalyan West</t>
  </si>
  <si>
    <t>0Q60gOsWK-A</t>
  </si>
  <si>
    <t>Call 7021988393 | Mangeshi World 2BHK Flat | Mangeshi Imperial Kalyan West | Rambaug 4 Kalyan West</t>
  </si>
  <si>
    <t>ESWsQMDt4oA</t>
  </si>
  <si>
    <t>Beautifully Planned Luxury Project in Kalyan | Konark Solitaire Amenities Tour | Call 7021988393</t>
  </si>
  <si>
    <t>fdR33VAOExA</t>
  </si>
  <si>
    <t>Davkhar Sereno Kalyan East | 2BHK Show Flat Tour | Affordable Luxury Homes Kalyan | Call 7021988393</t>
  </si>
  <si>
    <t>o24g7HmxEGI</t>
  </si>
  <si>
    <t>Mangeshi World 2BHK Sample Flat Tour | Spacious 1 &amp; 2BHK Flats in Kalyan | Call 7021988393</t>
  </si>
  <si>
    <t>6HMSugu7dCY</t>
  </si>
  <si>
    <t>Call 7021988393 | Dombivli's Shivalay | 2BHK Spacious Flat in Dombivli | Ira Insignia</t>
  </si>
  <si>
    <t>ajPdOoOpp4g</t>
  </si>
  <si>
    <t>The Green Sapphirre Kalyan | Township Drone View Tour | Call 7021988393</t>
  </si>
  <si>
    <t>a5OOC9Oecgg</t>
  </si>
  <si>
    <t>Vedant Palacia a Project by Tharwani Infrastructures | Luxurious 2 &amp; 3 BHK at Khadakpada |7021988393</t>
  </si>
  <si>
    <t>uXp6N2DbzW8</t>
  </si>
  <si>
    <t>Call 7021988393 | Affordable 2BHK Luxury Flat in Thakurli Kalyan | Metro Luxuria</t>
  </si>
  <si>
    <t>smF7ZtWVNPU</t>
  </si>
  <si>
    <t>Call 7021988393 | 1BHK Premium Flat at Best Location in Kalyan | Cornerstone 1BHK Sample Flat Tour</t>
  </si>
  <si>
    <t>jjh68OnVZbk</t>
  </si>
  <si>
    <t>Sunraj Solitaire Dombivli | Spacious 2 BHK Flats for Sale | New Project Dombivli | Call 7021988393</t>
  </si>
  <si>
    <t>Y7WbXMCS8YY</t>
  </si>
  <si>
    <t>qnQo96vl_HQ</t>
  </si>
  <si>
    <t>0P7o6SLSAt4</t>
  </si>
  <si>
    <t>Tharwani Vedant Millenia Titwala | Drone View, Clubhouse &amp; 1 &amp; 2 BHK Flat Tour | Call 7021988393</t>
  </si>
  <si>
    <t>Ggx4xSjGhXE</t>
  </si>
  <si>
    <t>Godrej Riviera | Godrej Riviera Kalyan Sample Flat | 1 BHK &amp; 2 BHK Flat Tour | Price | Reviews</t>
  </si>
  <si>
    <t>EjPvilt99NA</t>
  </si>
  <si>
    <t>Spacious Premium 1BHK Flat in Thakurli | Ready To Move Project in Kalyan | Call 7021988393</t>
  </si>
  <si>
    <t>RXaI8vGalOo</t>
  </si>
  <si>
    <t>5BHK with Biggest Balcony in Kalyan West | 5BHK Luxury Flat in Kalyan | Call 7021988393</t>
  </si>
  <si>
    <t>Dh3xkFOQ5qQ</t>
  </si>
  <si>
    <t>Call 7021988393 | Kalyan West Ka Budget Luxury Project with Best Connectivity</t>
  </si>
  <si>
    <t>JW-gGQqNO5k</t>
  </si>
  <si>
    <t>Call 7021988393 | Spacious 1BHK Affordable Flats in Kalyan | Yash Raj Paradise Kalyan East</t>
  </si>
  <si>
    <t>2ylV97lUYGM</t>
  </si>
  <si>
    <t>A1 Living Titwala | Subhash Residency | Drone View of Luxury Project Near Kalyan | Call 7021988393</t>
  </si>
  <si>
    <t>u3N0Fn0TGy0</t>
  </si>
  <si>
    <t>Call 7021988393 | Prime Location Prime Project | 1BHK Affordable Flat by Vikas Ritz Kalyan West</t>
  </si>
  <si>
    <t>vOcpjTFZ5Uk</t>
  </si>
  <si>
    <t>Nearing Possession 1 BHK &amp; 2 BHK Flats For Sale | Rai Tulip Kalyan East | Call 7021988393</t>
  </si>
  <si>
    <t>NcxttRtNIg8</t>
  </si>
  <si>
    <t>Call 7021988393 | Kalyan Me Premium Luxury 2BHK Flat Under 80Lac | Sai Park Street Kalyan West</t>
  </si>
  <si>
    <t>Ub0qV7cvwC8</t>
  </si>
  <si>
    <t>Uy8UpgLqYjo</t>
  </si>
  <si>
    <t>Kohinoor Highland Dombivli East | Sample Flat Tour &amp; Full Project Review | Call 7021988393</t>
  </si>
  <si>
    <t>1h1l7dds39Q</t>
  </si>
  <si>
    <t>cyAjVJF-2aw</t>
  </si>
  <si>
    <t>Kohinoor Eden Kalyan East | 1 &amp; 2 BHK Sample Flat Price | Project Drone View | Call 7021988393</t>
  </si>
  <si>
    <t>dYmxlUD4bgs</t>
  </si>
  <si>
    <t>Call 7021988393 | Vikas Ritz Kalyan West | Ritz by Vikas Developers | Sample Flat Tour 2025</t>
  </si>
  <si>
    <t>E3sGf-mSEt4</t>
  </si>
  <si>
    <t>3b-l6dG4cks</t>
  </si>
  <si>
    <t>Low Budget Flats In Kalyan | 1 BHK Flat For Sale In Kalyan Near Station | Call 7021988393</t>
  </si>
  <si>
    <t>HLkyeHQPYng</t>
  </si>
  <si>
    <t>kYkrBtmVh0w</t>
  </si>
  <si>
    <t>Call 7021988393 | Heaven Enclave 1BHK UC Flat | Affordable Spacious Flat in Kalyan West</t>
  </si>
  <si>
    <t>1oZ17l2aikg</t>
  </si>
  <si>
    <t>Regency Sarvam Titwala East | Short Project Tour | 1 &amp; 2 BHK Flats | Call 7021988393</t>
  </si>
  <si>
    <t>0un3r1IFT4w</t>
  </si>
  <si>
    <t>1 BHK Flat in Titwala New construction | Sai Mauli | 1 &amp; 2 Bhk Flats @ 23.20 Lacs | 7021988393</t>
  </si>
  <si>
    <t>JI8OnbBk-Uw</t>
  </si>
  <si>
    <t>QTl8m9nolDk</t>
  </si>
  <si>
    <t>Luxury 2 BHK Flat For Sale in Kalyan West | Midtown Adam &amp; Eve W90 | Call 7021988393</t>
  </si>
  <si>
    <t>TrsKjXSPAOM</t>
  </si>
  <si>
    <t>Call 7021988393 | 2BHK Affordable Flat in Kalyan West | Luxury Living in Budget at Seasons Green</t>
  </si>
  <si>
    <t>sqeNoWgW-Gc</t>
  </si>
  <si>
    <t>Sagar Homes Kalyan | 2BHK Flat with Balcony | Biggest Carpet at Affordable Price | Call 7021988393</t>
  </si>
  <si>
    <t>4sqQqavWh58</t>
  </si>
  <si>
    <t>Mountain Greens 1 BHK Flat for Sale in Kalyan East | Affordable 1 BHK Flat | Call 7021988393</t>
  </si>
  <si>
    <t>Qv-M6YLN1K8</t>
  </si>
  <si>
    <t>knqVvQ2C9E0</t>
  </si>
  <si>
    <t>6EltaJZE69Q</t>
  </si>
  <si>
    <t>Ready To Move Flats In Ambernath |1 BHK Flats In Ambernath | Low Cost Flat For Sale In Ambernath</t>
  </si>
  <si>
    <t>t00wwQ6uslU</t>
  </si>
  <si>
    <t>SlGzaK9vJoo</t>
  </si>
  <si>
    <t>Ajmera One Kalyan | Luxury 1 &amp; 2 BHK Homes in Kalyan West | Ajmera One Drone View | Call 7021988393</t>
  </si>
  <si>
    <t>Xq2eJDnY8CM</t>
  </si>
  <si>
    <t>Sai World Legend Ulhasnagar | Luxurious 2,3 &amp; 4 BHK Flat in Shahad Kalyan Nx | Call 7021988393</t>
  </si>
  <si>
    <t>qFHPnZZt6DQ</t>
  </si>
  <si>
    <t>Om Sai Home Bhiwandi | 1 BHK Sample Flat | Kalyan Bhiwandi Bypass | Project Price, Location</t>
  </si>
  <si>
    <t>qLOOwlIIyFY</t>
  </si>
  <si>
    <t xml:space="preserve"> -ezxI3CEXYI</t>
  </si>
  <si>
    <t>Riverwood Park Codename Thia | 1 &amp; 2 BHK Flat for Sale | Shilphata, Dombivli East | Call 7021988393</t>
  </si>
  <si>
    <t>IAVf5y5M-aQ</t>
  </si>
  <si>
    <t>Dream Atlantis Kalyan West | 3BHK Sample Flat Tour | Biggest Carpet Flat in Kalyan | Call 7021988393</t>
  </si>
  <si>
    <t>973AwApCAW4</t>
  </si>
  <si>
    <t>Metro Luxuria Thakurli | Affordable 2 BHK Flat in Kalyan | Luxury Homes in Thane | Call 7021988393</t>
  </si>
  <si>
    <t>Qtclb4Ce2gY</t>
  </si>
  <si>
    <t>Rustagi Aarambha | Luxury 1 BHK &amp; 2 BHK Flats Titwala East | Affordable Housing |Call 7021988393</t>
  </si>
  <si>
    <t>b9uxxogPUgU</t>
  </si>
  <si>
    <t>Best Budget Projects in Kalyan | Top Projects in Kalyan | Kalyan Vihar Sample Flat | Call 7021988393</t>
  </si>
  <si>
    <t>KV7-ZVFdWCc</t>
  </si>
  <si>
    <t>Luxury 2BHK Sample Flat Tour | Shreeji Landmark Kalyan West | Dream Home Awaits! | Call 7021988393</t>
  </si>
  <si>
    <t>ls6AENy_bIg</t>
  </si>
  <si>
    <t>Vikas Ritz Kalyan West | Ritz Vikas Kalyan West | 1/2/3 BHK Flat | Sample Flat Video | 7021988393</t>
  </si>
  <si>
    <t>4BIqqIiNBeY</t>
  </si>
  <si>
    <t>Sai World Dreams Dombivli | Sample Flat | Sai Paradise Dombivli | 1, 2, 2.5 &amp; 3 BHK Luxury Home Tour</t>
  </si>
  <si>
    <t>PO5_CpqRPq0</t>
  </si>
  <si>
    <t>Swaminarayan City Dombivli West | 1/2/3 BHK Flats for Sale | New Construction Property | 7021988393</t>
  </si>
  <si>
    <t>lcBAW3Rv4jA</t>
  </si>
  <si>
    <t>ZOgmrgUYhXI</t>
  </si>
  <si>
    <t>Metro Paramount | 2 BHK Flat Home Tour | Thane Shilphata Project | For Site Visit Call 7021988393</t>
  </si>
  <si>
    <t>_IcUUz2ZlmM</t>
  </si>
  <si>
    <t>6XN5lZMGKCI</t>
  </si>
  <si>
    <t>1,2 &amp; 3 BHK Flat for Sale in Dombivli | New Construction Project | Flat Price, Location | 7021988393</t>
  </si>
  <si>
    <t>oPTmd8rW-IQ</t>
  </si>
  <si>
    <t>Krishna Trident Kalyan | 1 &amp; 2BHK Luxury Residences in Kalyan | Kalyan Ka Big Boss | Call 7021988393</t>
  </si>
  <si>
    <t>P73UKJBk188</t>
  </si>
  <si>
    <t>Kalyan West 1 BHK Flat | Arihant Aaradhya | 1 BHK Kalyan West Flat For Sale | Call 7021988393</t>
  </si>
  <si>
    <t>xlbqqN4CTVo</t>
  </si>
  <si>
    <t>Tisai Heights Kalyan East | 1BHK, 2BHK Flat | New Project by Sai Raj Group | Price, Location, Review</t>
  </si>
  <si>
    <t>GVgs50vIW7s</t>
  </si>
  <si>
    <t>Triveni Pearl Kalyan | 2BHK Luxury Flat Tour | Premium Flats in Kalyan West | Call 7021988393</t>
  </si>
  <si>
    <t>UhXTtCvO4Us</t>
  </si>
  <si>
    <t>Call 7021988393 | Badlapur Me 2BHK Flat Sirf 35Lac Se Shuru | 7min from Badlapur Railway Station</t>
  </si>
  <si>
    <t>qyfwxUI3jKc</t>
  </si>
  <si>
    <t>fcR9qe7DDJo</t>
  </si>
  <si>
    <t>gJHW7oL-Y9M</t>
  </si>
  <si>
    <t>Biggest Carpet at Affordable Price | Sagar Homes Kalyan 2BHK Sample Flat | Call 7021988393</t>
  </si>
  <si>
    <t>MfB68QeNzuY</t>
  </si>
  <si>
    <t>UB-c3egtNKQ</t>
  </si>
  <si>
    <t>2 BHK Flat for Sale in Dombivli East | Lodha Crown Dombivli Full Project Review | Call 7021988393</t>
  </si>
  <si>
    <t>gWS3yaxnZkE</t>
  </si>
  <si>
    <t>Empire Residency Kalyan | Underconstruction Project in Kalyan East | Sample Flat | Call 7021988393</t>
  </si>
  <si>
    <t>lLMSJA4kuhU</t>
  </si>
  <si>
    <t>Metro Pride Thakurli | 1 BHK Sample Flat Tour | Modern &amp; Spacious Apartment | Call 7021988393</t>
  </si>
  <si>
    <t>iW-qSSCROpw</t>
  </si>
  <si>
    <t>2 BHK Flat for Sale in Kalyan East | 2 BHK Flats in Kalyan | Kalyan Flats For Sale | Call 7021988393</t>
  </si>
  <si>
    <t>zqZYt4CTsCo</t>
  </si>
  <si>
    <t>Veer Hills Thane West Project | 1 &amp; 2 BHK Flats in Thane | VB Group Projects | Call 7021988393</t>
  </si>
  <si>
    <t>UfFqI9gZVDM</t>
  </si>
  <si>
    <t>uIUovcOioTQ</t>
  </si>
  <si>
    <t>Call 7021988393 | 2BHK Beautiful Flat in Kalyan | Luxury and Best Location Project in Kalyan</t>
  </si>
  <si>
    <t>NJDMdNrzn5A</t>
  </si>
  <si>
    <t>Tharwani Vedant Millenia 1 BHK Sample Flat | Spacious &amp; Affordable Flat in Titwala | Call 7021988393</t>
  </si>
  <si>
    <t>h0jvSJhZrME</t>
  </si>
  <si>
    <t>Luxury 1 BHK &amp; 2 BHK Flats in Kalyan East | Krishna Ultima by Sonawane Group | Call 7021988393</t>
  </si>
  <si>
    <t>G5WpV7wmieU</t>
  </si>
  <si>
    <t>Thane West 1 BHK Flat | Thane 1 BHK flat For Sake | Y Square 1 BHK Flat | Call 7021988393</t>
  </si>
  <si>
    <t>RTMWYC7JWrw</t>
  </si>
  <si>
    <t>bJ4tUp5XBXc</t>
  </si>
  <si>
    <t>Piramal Vaikunth Thane 1.5 BHK Home Tour | Ready to Move Flats | Price &amp; Location | Call 7021988393</t>
  </si>
  <si>
    <t>yCyAxCAx-cA</t>
  </si>
  <si>
    <t>Wmae2BhabOA</t>
  </si>
  <si>
    <t>Call 7021988393 | 1BHK Spacious Home in Kalyan | MidTown Adam &amp; Eve Kalyan West</t>
  </si>
  <si>
    <t>RwszVEjaFj8</t>
  </si>
  <si>
    <t>Spacious 2 BHK Flats at Samruddhi Heights Kalyan | Affordable with Good Amenities | Call 7021988393</t>
  </si>
  <si>
    <t>tCiKXchqPzc</t>
  </si>
  <si>
    <t>tfE_z8yOThw</t>
  </si>
  <si>
    <t>4 BHK Flat in Kalyan West | Mohan Prestige Kalyan | Price &amp; Project Review | Call 7021988393</t>
  </si>
  <si>
    <t>FGrGtAQNBg8</t>
  </si>
  <si>
    <t>7R3_7lGr0Zg</t>
  </si>
  <si>
    <t>FMHX2y5fwL4</t>
  </si>
  <si>
    <t>hXsohznCzLI</t>
  </si>
  <si>
    <t>Luxury 2 BHK in Kalyan West | Palika Junomoneta Price | Site Visit | Call 7021988393</t>
  </si>
  <si>
    <t>wyD_79l5XGs</t>
  </si>
  <si>
    <t>rWpbg82qXfM</t>
  </si>
  <si>
    <t>mqNzouaOZvQ</t>
  </si>
  <si>
    <t>rfkGwlKoLaE</t>
  </si>
  <si>
    <t>Call 7021988393 | Commercial Office Spaces in Dombivli | Big Space for Your Business | Globe Estate</t>
  </si>
  <si>
    <t>u-4eGzsQMcY</t>
  </si>
  <si>
    <t>8h_xZWIuog4</t>
  </si>
  <si>
    <t>Tata Amantra | Ready to Move | Fully Furnished | 2 BHK | 3 BHK | Flats for Sale | Bhiwandi | Kalyan</t>
  </si>
  <si>
    <t>LIxpCEuB5H0</t>
  </si>
  <si>
    <t>Explore Balaji Aqua 3BHK Sample Flat | Luxury Living in Khadakpada Kalyan West | Call 7021988393</t>
  </si>
  <si>
    <t>_iaGMz04-XA</t>
  </si>
  <si>
    <t>Sai Altezza Kalyan East | Premium 2 BHK Flat for Sale in Kalyan | Kalyan East Flats |Call 7021988393</t>
  </si>
  <si>
    <t>Q91MuEvpDxs</t>
  </si>
  <si>
    <t>Samruddhi Heights Kalyan West | 1 &amp; 2 BHK Flats for Sale in Kalyan | Call 7021988393</t>
  </si>
  <si>
    <t>Ko_AXH1fSdM</t>
  </si>
  <si>
    <t>1 BHK Deck Apartment For Sale In Dombivli | 1 BHK Flat In Dombivli | Call 7021988393 For Visit</t>
  </si>
  <si>
    <t>KcM1Drrf5I8</t>
  </si>
  <si>
    <t>Call 7021988393 | Affordable Big Carpet Homes in Dombivli | Anandi Imperial Dombivli East</t>
  </si>
  <si>
    <t>o8opVPVT5NU</t>
  </si>
  <si>
    <t>Rustomjee Dombivli Launching 1 &amp; 2 BHK | Call 7021988393</t>
  </si>
  <si>
    <t>yVAOXeNidGo</t>
  </si>
  <si>
    <t>How to Identify Real vs Fake Real Estate Projects in India? | RERA Explained | Call 7021988393</t>
  </si>
  <si>
    <t>9c9n6iLnaEQ</t>
  </si>
  <si>
    <t>wrP1JcbPxac</t>
  </si>
  <si>
    <t>The Green Sapphirre Kalyan | Premium Township Project with 1 &amp; 2 BHK Flats | Call 7021988393</t>
  </si>
  <si>
    <t>F12wRFuaOcI</t>
  </si>
  <si>
    <t>uo7PTQBp-_4</t>
  </si>
  <si>
    <t>Elite Galaxy Dombivli | Affordable 2BHK Homes in Dombivli | Explore Sample Flat | Call 7021988393</t>
  </si>
  <si>
    <t>L M Tower Bhiwandi | 1 BHK | 2 BHK | Flat For Sale In Bhiwandi | Tour, Price | 7021988393</t>
  </si>
  <si>
    <t>Rustomjee Dombivli New Project | Luxury 1, 2, 3BHK Flats | Call 7021988393 #gharjunction #rustomjee</t>
  </si>
  <si>
    <t>Birla Vanya Clubhouse Tour | Experience Luxury Lifestyle in Kalyan!Call 7021988393 #shorts #luxury</t>
  </si>
  <si>
    <t>1 BHK FLAT NEAR DMART | Flats in Dombivli East | New Construction Project in Dombivli</t>
  </si>
  <si>
    <t>1 Bhk Flat For Sale In Dombivli Near Dmart | Actual Sample Flat | Call 7021988393</t>
  </si>
  <si>
    <t>Luxurious 3 Bhk Flat For Sale In Kalyan West | 3 Bhk Flat In Kalyan | Call 7021988393</t>
  </si>
  <si>
    <t>Tharwani Vedant Millenia Clubhouse Tour in 1Minute | Tharwani Titwala | Call 7021988393 #shorts</t>
  </si>
  <si>
    <t>Tulsi City Flats | 1 &amp; 2 BHK Flats for Sale in Badlapur East | Call 7021988393</t>
  </si>
  <si>
    <t>TATA Amantra 2BHK Sample Flat Tour | Call 7021988393 #realestate #gharjunction #shorts</t>
  </si>
  <si>
    <t>Birla Vanya Kalyan | Flat for Sale in Kalyan Near Station | 1/2/3/4 BHK | Sample Flat | 7021988393</t>
  </si>
  <si>
    <t>1 BHK Flat for Sale | Saket Nature Vista in Kalyan East | Ayodhya City | Call 7021988393</t>
  </si>
  <si>
    <t>1 Bhk Flat For Sale In Dombivli | Flat For Sale In Dombivli | Sample Flat | 7021988393</t>
  </si>
  <si>
    <t>Swaminarayan City Dombivli West | 1, 2 &amp; 3 BHK Flat | Review, Price, Sample Flat, Call 7021988393</t>
  </si>
  <si>
    <t>Hiranadani Kalyan | Hiranandani Woodspring Kalyan | 1 BHK | 2 BHK | Price, Tour | Call 7021988393</t>
  </si>
  <si>
    <t>Kohinoor Eden Kalyan East New Construction | Luxurious 1 &amp; 2 BHK Flats For Sale | Call 7021988393</t>
  </si>
  <si>
    <t>Spacious 1 &amp; 2 BHK Homes in Kalyan | Siyara Dham by Shakti Group | Call 7021988393 #realestate</t>
  </si>
  <si>
    <t>Arihant Aaradhya Kalyan | 2 BHK Sample Flat Tour | Call 7021988393 #gharjunction #kalyan</t>
  </si>
  <si>
    <t>Hiranadani Kalyan 2 BHK Sample Flat Video | Hiranandani Woodspring Kalyan | Sample Flat, 7021988393</t>
  </si>
  <si>
    <t>Spacious 2 BHK Flat For Sale Kalyan | Chavan Advaitam Kalyan West Flat &amp; Details | Call 7021988393</t>
  </si>
  <si>
    <t>Metro Luxuria Thakurli | Affordable 2BHK Flat in Thakurli | Call 7021988393</t>
  </si>
  <si>
    <t>2 BHK Modern Flats Shahad | Kohinoor Gardens in Kalyan | Property Tour | Call 7021988393</t>
  </si>
  <si>
    <t>Ready To Move 1 &amp; 2 Bhk Flats For Sale In Kalyan West | Kalyan Nagari | Call 7021988393 For Booking</t>
  </si>
  <si>
    <t>Mangeshi Jupiter Ready To Move 1 &amp; 2BHK Flats in Kalyan Call | 7021988393</t>
  </si>
  <si>
    <t>Vihang Infinity Thane | 1 &amp; 2 BHK Sample Flat | Vihang Capital Thane Reviews | Call 7021988393</t>
  </si>
  <si>
    <t>L M Tower Bhiwandi | Flat For Sale In Bhiwandi | 1 BHK | 2 BHK | Sample Flat | Price, 7021988393</t>
  </si>
  <si>
    <t>The Green Sapphirre | Premium 1BHK &amp; 2BHK Flats in Kalyan West | Luxury | Call 7021988393</t>
  </si>
  <si>
    <t>1BHK in Dombivli For Urgent Sale..! | Best luxurious Flats #realestate #gharjunction</t>
  </si>
  <si>
    <t>Affordable Flats in Kalyan| 1 BHK Flat for Sale | Low Budget Flats in Kalyan | Call 7021988393</t>
  </si>
  <si>
    <t>Top 5 Ready to Move Property| 1 &amp; 2 BHK Flats in Kalyan | New Projects in Kalyan | 7021988393</t>
  </si>
  <si>
    <t>Kalyan Luxury 1,2 &amp; 3 BHK Apartment| Ritz Life Vikas Developers | Price, Location, Project Review</t>
  </si>
  <si>
    <t>Elite Galaxy Dombivli East | 1 BHK, 2 BHK Flats Dombivli | Fully Furnished Home | Call 7021988393</t>
  </si>
  <si>
    <t>A1 Living Titwala| 1 &amp; 2 BHK Flat for Sale in Titwala 5 Min's near Station | Call 7021988393</t>
  </si>
  <si>
    <t>Kohinoor Eden Kalyan | 1 &amp; 2 BHK Flats Starting at 32 Lacs* | Kalyan East</t>
  </si>
  <si>
    <t>Call 7021988393 | Seasons Green Kalyan West | 1 &amp; 2 BHK Affordable Flats | Starting From 33.99L</t>
  </si>
  <si>
    <t>Call 7021988393 | 1BHK Premium Flat in Titwala at 17.5 Lakh | MHADA Approved | Site Visit Now!</t>
  </si>
  <si>
    <t>Call 7021988393 | Raunak Earth Park 2BHK Sample Flat Tour | Kalyan Me 2BHK Flat Sirf 54Lacs Me</t>
  </si>
  <si>
    <t>Nirvana Gardens Kalyan | 1 bhk at 46 Lakhs! | Call 7021988393</t>
  </si>
  <si>
    <t>Seasons Green 1 &amp; 2 BHK Starting 39.99L | Kalyan West</t>
  </si>
  <si>
    <t>Saket Ayodhya City (Kalyan E) | 2BHK From 50Lakhs Onwards | Usable Area 540Sq.Ft. | Call 7021988393</t>
  </si>
  <si>
    <t>Atlanta Avadh Shahad | 1 &amp; 2BHK Flats in Kalyan Shahad | Starting at 35 Lacs | Call 7021988393</t>
  </si>
  <si>
    <t>Call 7021988393 | 1 &amp; 2 BHK Flats in Kalyan from 36 Lakh | THE LIVIN Near Durgadi Fort | Book Now!</t>
  </si>
  <si>
    <t>Arihant City Kalyan | Spacious 2 BHK Flats | Starting from 63 Lacs | Call 7021988393 #gharjunction</t>
  </si>
  <si>
    <t>Call 7021988393 | Siyara Fortune Bhiwandi | 1 BHK Luxury Homes Starting 30 Lakh</t>
  </si>
  <si>
    <t>Nirvana Gardens Kalyan | 1, 2 and 3 BHK starting from just 46 Lakhs! | Call 7021988393</t>
  </si>
  <si>
    <t>Mohan Alcoves Badlapur | 1 BHK Flats Starting at 28.5 L | Investment Opportunity | Call 7021988393</t>
  </si>
  <si>
    <t>1BHK Affordable Flat in Thakurli | Best Home Under 40 Lakh | Balaji Kanha | Call 7021988393 #shorts</t>
  </si>
  <si>
    <t>New Launch Dombivli East | 1, 2 &amp; 3 BHK Flats | Rustomjee Urban Woods | 47 Lacs* | Call 7021988393</t>
  </si>
  <si>
    <t>Runwal Garden Dombivali | 1, 2, 3 &amp; 4 BHK Start @ 38 Lacs* | Zero Stamp Duty | Call 7021988393</t>
  </si>
  <si>
    <t>1 BHK Flat in Titwala | starts 17.5 Lakhs | Shubharambh | Flat for Sale in Titwala | New Property</t>
  </si>
  <si>
    <t>A1 Living Titwala | 1 BHK Flat Starting from 24.24 Lacs | Ready To Move | Call 7021988393</t>
  </si>
  <si>
    <t>Chavan Advaitam Sample Flat |¨Luxury 2 &amp; 3 BHK | House of Chavan Kalyan New Project | 7021988393</t>
  </si>
  <si>
    <t>7021988393 | Ready &amp; Affordable 1 &amp; 2 BHK Flats for Sale Kalyan West |Sagar Homes Project Review</t>
  </si>
  <si>
    <t>70219883932 MIN from Station - 1/2 BHK Homes for Sale | Metro Pride Thakurli New Project</t>
  </si>
  <si>
    <t>7021988393The Green Sapphirre - Kalyan West | Affordable 1 &amp; 2 BHK Flats for Sale in Kalyan</t>
  </si>
  <si>
    <t>Call7021988393 | 2 BHK Flats in Dombivli | Elite Galaxy | Sample Flat Video</t>
  </si>
  <si>
    <t>7021988393Ready to Move 2 BHK 45.99 Lakhs at Kohinoor Highland Dombivli East New Project</t>
  </si>
  <si>
    <t>Kalyan ka BIG BOSS - Krishna Trident|7021988393 | 1 &amp; 2 BHK Flat for Sale in Kalyan East</t>
  </si>
  <si>
    <t>Seasons Green Kalyan West | Project Review­| 1 &amp; 2 BHK Flat for Sale in Kalyan West |7021988393</t>
  </si>
  <si>
    <t>70219883931/2 BHK Next to UMC Garden | New Project in Shahad near Station | Kohinoor Gardens</t>
  </si>
  <si>
    <t>Kapleshwara Residency Dombivli - Sample Flat &amp; Aerial View |7021988393 | 1BHK | 2BHK | New Video </t>
  </si>
  <si>
    <t>7021988393Atlanta Avadh Shahad - 1 &amp; 2 BHK Apartment for Sale near Shahad Station</t>
  </si>
  <si>
    <t>Atlanta Avadh Shahad 7021988393 1 &amp; 2 BHK Flats for Sale just 2 Min from Station - New Project</t>
  </si>
  <si>
    <t>1 BHK  Flat For Sale In Dombivli Near Dmart | Show Flat | 7021988393 For Free Site Visit</t>
  </si>
  <si>
    <t>Davakhar Sereno Kalyan | 1 &amp; 2 BHK Flats Starting at 25 Lacs* | Davakhar Sereno | 7021988393</t>
  </si>
  <si>
    <t>1 &amp; 2 BHK Flats in Dombivli | Anandi Imperial Dombivli East | 7021988393</t>
  </si>
  <si>
    <t>Seasons Green Kalyan West | 1BHK | 2BHK | Flat for Sale in Kalyan | Project Review |7021988393</t>
  </si>
  <si>
    <t>Shops for Sale “Thakurli |7021988393 | Best Commercial Property in Thakurli Mumbai | Metro Pride</t>
  </si>
  <si>
    <t>Affordable 1,2 &amp; 3 BHK Flats for Sale| Davakhar Sereno Kalyan | Sample Flat Video</t>
  </si>
  <si>
    <t>Godrej Riviera Kalyan | Luxurious 1 &amp; 2 BHK Flats in Ambivali | Sample Flat Tour &amp; Floor Plans</t>
  </si>
  <si>
    <t>Luxurious 2 BHK Flat For Sale In Kalyan West | 25+ Amenities | Sample Flat | Call 7021988393</t>
  </si>
  <si>
    <t>Call 7021988393 | 1BHK Ready to Move Flat in Kalyan West  | Biggest Carpet Flats | Sagar Homes</t>
  </si>
  <si>
    <t>Kalyan East 1 BHKfor Sale | 7021988393 | Krishna Trident Flats for Sale in Kalyan East Property</t>
  </si>
  <si>
    <t> Sharda Serene | Luxury 2 BHK Flat for Sale in Shahad, Kalyan West | Call 7021988393</t>
  </si>
  <si>
    <t>2 bhk Flat in Kalyan West Rambaug| 2 bhk Flats in Kalyan West Near Station | Call 7021988393</t>
  </si>
  <si>
    <t>Nature Vista Kalyan| Affordable Luxurious Flats in kalyan East | World Class Modern Amenities</t>
  </si>
  <si>
    <t>Kohinoor Highland Dombivli| Dombivli 1 BHK, 2 BHK Flats for Sale | Project Review | 7021988393</t>
  </si>
  <si>
    <t>Mohan Alcoves Badlapur | Stunning 2BHK Sample Flat Tour | Call 7021988393 #gharjunction #badlapur</t>
  </si>
  <si>
    <t>1 &amp; 2 BHK Terrace Flats | Saket World Kalyan East | Review | 2 Bhk Sample Flat | Call 7021988393</t>
  </si>
  <si>
    <t>Luxury 2 BHK Flats in Dombivli East | Balaji Classica by SS LifeSpaces | Call 7021988393</t>
  </si>
  <si>
    <t>CREDAI MCHI Kalyan Dombivli Exhibition 2025 | Dream Homes from 20 Lakhs | Call 7021988393 #kdmc</t>
  </si>
  <si>
    <t>2BHK Flats in Kalyan For Sale | Best Flats In Kalyan West | Ready To Move | Call 7021988393</t>
  </si>
  <si>
    <t>Shubharambh Titwala | Affordable 1 BHK at Just 17.50 Lakhs All-Inclusive! | 7021988393</t>
  </si>
  <si>
    <t>Shubharambh | Titwala | Affordable 1 BHK at Just 17.50 Lakhs All-Inclusive! | 7021988393</t>
  </si>
  <si>
    <t>Call 7021988393 | Affordable Luxury Life in Dombivli | Sai Dream One Codename Jackpot (Lush Green)</t>
  </si>
  <si>
    <t>Metro Pride, Thakurli Premium 1 &amp; 2 BHK Homes Starting 45.99L! Call 7021988393</t>
  </si>
  <si>
    <t>Shahad 1 &amp; 2 BHK 37.26 Lakhs 7021988393 | Kohinoor Gardens Shahad</t>
  </si>
  <si>
    <t>Luxury 2 &amp; 3 BHK |7021988393 | Shreeji Landmark | New Construction Project Kalyan West</t>
  </si>
  <si>
    <t>1 BHK Flats Rera Registered</t>
  </si>
  <si>
    <t>Call 7021988393 | Inside Rustomjee Dombivli's Spacious 3BHK Flat | Luxury Living Tour in 60 Seconds</t>
  </si>
  <si>
    <t>7021988393 | Kalyan Wests Premier Residential Project - Mangeshi Valley | 1 &amp; 2 BHK Homes</t>
  </si>
  <si>
    <t>Waah Taj Kalyan West | Kongaons New Premium Project | 1, &amp; 2 BHK Luxury Homes | Call 7021988393</t>
  </si>
  <si>
    <t>1BHK @45.99 Lakhs… 2BHK @65.66 Lakhs “Thakurli 7021988393 1 &amp; 2 BHK Flats for Sale near Station</t>
  </si>
  <si>
    <t>Swaminarayan City | 7021988393</t>
  </si>
  <si>
    <t> Rustomjee Dombivli Luxury Living with 1, 2 &amp; 3 BHK Flats! € | Call 7021988393 #gharjunction</t>
  </si>
  <si>
    <t>Flats in Kalyan Below 25 Lakhs| Starting Just 19.99 lakh | 2 Bhk Flat in Kalyan Near Station</t>
  </si>
  <si>
    <t>70219883931 &amp; 2 BHK BHK starts @37.26 | 2 Min's from Shahad Station†| New Construction Project</t>
  </si>
  <si>
    <t>Kapleshwara ResidencyDrone View | Spacious 1 &amp; 2 BHK Flats for Sale in Dombivli East near Station</t>
  </si>
  <si>
    <t>1 BHK Urgent!!!| Carpet 484 Sq. Ft | Call 7021988393 For Free Site Visit</t>
  </si>
  <si>
    <t>1BHK Flat Starting From 20Lacs Only | Haware My First Home Kalyan Bapgaon | Call 7021988393</t>
  </si>
  <si>
    <t>Raunak Earth Park Kalyan West | Affordable 1BHK, 2BHK, 3BHK | near Raunak City | Location &amp; Review</t>
  </si>
  <si>
    <t>Tharwani Badlapur West Project| Tharwani Vedant Nakshatra | Badlapur Property Rates Near Station</t>
  </si>
  <si>
    <t>7021988393Affordble &amp; Luxury 3 BHK Flat in KalyanTata Amantra - Kalyans Iconic Address</t>
  </si>
  <si>
    <t>Call 7021988393 | Look  What a Luxury Flat! 3BHK | Tharwani Vedant Palacia Kalyan West</t>
  </si>
  <si>
    <t>Near Station 1BHK Flat | Limited Flats Available | 7021988393</t>
  </si>
  <si>
    <t>Arihant World Villas Karjat | Luxury 3 &amp; 4 BHK Villas  Township Project | Call 7021988393</t>
  </si>
  <si>
    <t>Sai Mauli Titwala | Premium 1BHK Sample Flat Tour | Call 7021988393 #gharjunction #ttitwala</t>
  </si>
  <si>
    <t>Rs.17.5 1BHK Flats| Mhada &amp; RERA Approved| 10 Min's from Station | Shubharambh Titwala East</t>
  </si>
  <si>
    <t> Midtown Adam Eve Kalyan West | Luxury 2 BHK Flat in Khadakpada | Call 7021988393</t>
  </si>
  <si>
    <t>Best Office Space in Kalyan | 7021988393 | Kalyan Square | Commercial Property in Kalyan West</t>
  </si>
  <si>
    <t>1,2 BHK Flat Near Station‰| 7021988393 | Kohinoor Gardens Shahad | New Residential Property</t>
  </si>
  <si>
    <t>Kalyan‚ Urgent 2BHK Flat Call 7021988393|Don't Miss...Hurry Up| Call 7021988393</t>
  </si>
  <si>
    <t>Kohinoor Eden | Cheap 1 BHK Flat in Kalyan East</t>
  </si>
  <si>
    <t>Call 7021988393 | Property | Property Buying Tips in Hindi</t>
  </si>
  <si>
    <t>Heaven Enclave Kalyan West | 2 &amp; 3 BHK Flat for Sale in Wadeghar Kalyan New Project | Call 70219883931</t>
  </si>
  <si>
    <t>Kalyan City Mumbai | Everything About Kalyan City | Share With All Kalyankar | Tour</t>
  </si>
  <si>
    <t>Swaminarayan City Dombivali West | 7021988393</t>
  </si>
  <si>
    <t>7021988393 | Kalyan West 1 &amp; 2 BHK Flats for Sale | Seasons Green Kalyan | New Construction Project</t>
  </si>
  <si>
    <t>1 BHK | Flower Valley | New Construction 1 &amp; 2 BHK Apartment</t>
  </si>
  <si>
    <t>Luxury 1BHK, 2BHK Flat for Sale in Dombivli | Laukik Vastu Luxuria Dombivli | Price &amp; Review</t>
  </si>
  <si>
    <t>Regency Sarvam Titwala | 1&amp; 2 BHK Flat in Titwala | Call 7021988393</t>
  </si>
  <si>
    <t>Fully Furnished | 1BHK, 2BHK | Don't Miss | Elite Galaxy Dombivli New Project</t>
  </si>
  <si>
    <t>Vaishnavi Pride Kalyan East | 1 BHK Flats for Sale Near Chakki Naka &amp; Metro Mall | Call 7021988393</t>
  </si>
  <si>
    <t>1 Bhk Flat In Kalyan East | Flat In Kalyan East | Empire Residency Kalyan | Call 7021988393</t>
  </si>
  <si>
    <t>1 RK 21 LACS &amp; 1 BHK 25 LACS AT KALYAN WEST | MAGUS CITY | BOOK NOW | CALL 7021988393</t>
  </si>
  <si>
    <t>Call 7021988393 | See The Project You Fall in Love | Kapleshwara Residency 2BHK Sample Flat Tour</t>
  </si>
  <si>
    <t>Property | Real Estate Tips for Buyers | Call 7021988393</t>
  </si>
  <si>
    <t>Mohan Group  New Launch In Ambernath | Flats in Ambernath near Station | 1 &amp; 2 BHK | 7021988393</t>
  </si>
  <si>
    <t>Video Title</t>
  </si>
  <si>
    <t>Content ID</t>
  </si>
  <si>
    <t>Video Publish Date</t>
  </si>
  <si>
    <t>Estimated Revenue (INR)</t>
  </si>
  <si>
    <t>Impressions Click-Through Rate (%)</t>
  </si>
  <si>
    <t>Duration (Sec)</t>
  </si>
  <si>
    <t>Row Labels</t>
  </si>
  <si>
    <t>Grand Total</t>
  </si>
  <si>
    <t>Sum of Subscribers</t>
  </si>
  <si>
    <t>Sum of Views</t>
  </si>
  <si>
    <t>Date Category</t>
  </si>
  <si>
    <t>Watch time (Hours) (%)</t>
  </si>
  <si>
    <t>Viewer Gender</t>
  </si>
  <si>
    <t>Viewer Age</t>
  </si>
  <si>
    <t>Watch time (Hours)</t>
  </si>
  <si>
    <t>Last 28 Days</t>
  </si>
  <si>
    <t>Last 365 Days</t>
  </si>
  <si>
    <t>Last 90 Days</t>
  </si>
  <si>
    <t>Older</t>
  </si>
  <si>
    <t>Sum of Watch time (Hours)</t>
  </si>
  <si>
    <t>Sum of Estimated Revenue (INR)</t>
  </si>
  <si>
    <t>Sum of Views (%)</t>
  </si>
  <si>
    <t>YouTube Performance Dashboard</t>
  </si>
  <si>
    <t>Total Views</t>
  </si>
  <si>
    <t>Total Watch Time (Hours)</t>
  </si>
  <si>
    <t>Total Revenue (INR)</t>
  </si>
  <si>
    <t>Total Subscribers</t>
  </si>
  <si>
    <t>Month-Year</t>
  </si>
  <si>
    <t>Short Video Title</t>
  </si>
  <si>
    <t>Metro Pride Thakurli | 1 &amp; 2BHK Flats Re</t>
  </si>
  <si>
    <t>1BHK in Dombivli For Urgent Sale..! | Be</t>
  </si>
  <si>
    <t>2 Bhk Flat In Kalyan For Sale | 2 Bhk Fl</t>
  </si>
  <si>
    <t>7021988393 | Ready &amp; Affordable 1 &amp; 2 B</t>
  </si>
  <si>
    <t>Call 7021988393 | Kohinoor Gardens Shaha</t>
  </si>
  <si>
    <t xml:space="preserve"> </t>
  </si>
  <si>
    <t>Avg Watch Time (Min)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</si>
</sst>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64" formatCode="[$₹-4009]\ #,##0.00"/>
    <numFmt numFmtId="165" formatCode="_ [$₹-4009]\ * #,##0.00_ ;_ [$₹-4009]\ * \-#,##0.00_ ;_ [$₹-4009]\ * &quot;-&quot;??_ ;_ @_ "/>
    <numFmt numFmtId="166" formatCode="mmm\ yyyy"/>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36"/>
      <color theme="0"/>
      <name val="Calibri"/>
      <family val="2"/>
      <scheme val="minor"/>
    </font>
    <font>
      <b/>
      <sz val="36"/>
      <color theme="1"/>
      <name val="Calibri"/>
      <family val="2"/>
      <scheme val="minor"/>
    </font>
    <font>
      <b/>
      <sz val="20"/>
      <color theme="0"/>
      <name val="Calibri"/>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theme="1"/>
        <bgColor indexed="64"/>
      </patternFill>
    </fill>
    <fill>
      <patternFill patternType="solid">
        <fgColor theme="0"/>
        <bgColor indexed="64"/>
      </patternFill>
    </fill>
    <fill>
      <patternFill patternType="solid">
        <fgColor rgb="FFC0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38">
    <xf numFmtId="0" fontId="0" fillId="0" borderId="0" xfId="0"/>
    <xf numFmtId="2" fontId="0" fillId="0" borderId="0" xfId="0" applyNumberFormat="1"/>
    <xf numFmtId="1" fontId="0" fillId="0" borderId="0" xfId="0" applyNumberFormat="1"/>
    <xf numFmtId="164" fontId="0" fillId="0" borderId="0" xfId="0" applyNumberFormat="1"/>
    <xf numFmtId="0" fontId="0" fillId="0" borderId="1" xfId="0" applyBorder="1"/>
    <xf numFmtId="1" fontId="0" fillId="0" borderId="1" xfId="0" applyNumberFormat="1" applyBorder="1"/>
    <xf numFmtId="2" fontId="0" fillId="0" borderId="1" xfId="0" applyNumberFormat="1" applyBorder="1"/>
    <xf numFmtId="164" fontId="0" fillId="0" borderId="1" xfId="0" applyNumberFormat="1" applyBorder="1"/>
    <xf numFmtId="0" fontId="2" fillId="2" borderId="1" xfId="0" applyFont="1" applyFill="1" applyBorder="1"/>
    <xf numFmtId="1" fontId="2" fillId="2" borderId="1" xfId="0" applyNumberFormat="1" applyFont="1" applyFill="1" applyBorder="1"/>
    <xf numFmtId="2" fontId="2" fillId="2" borderId="1" xfId="0" applyNumberFormat="1" applyFont="1" applyFill="1" applyBorder="1"/>
    <xf numFmtId="164" fontId="2" fillId="2" borderId="1" xfId="0" applyNumberFormat="1" applyFont="1" applyFill="1" applyBorder="1"/>
    <xf numFmtId="14" fontId="2" fillId="2" borderId="1" xfId="0" applyNumberFormat="1" applyFont="1" applyFill="1" applyBorder="1"/>
    <xf numFmtId="14" fontId="0" fillId="0" borderId="1" xfId="0" applyNumberFormat="1" applyBorder="1"/>
    <xf numFmtId="14" fontId="0" fillId="0" borderId="0" xfId="0" applyNumberFormat="1"/>
    <xf numFmtId="0" fontId="0" fillId="0" borderId="0" xfId="0" pivotButton="1"/>
    <xf numFmtId="0" fontId="0" fillId="0" borderId="0" xfId="0" applyNumberFormat="1"/>
    <xf numFmtId="0" fontId="0" fillId="0" borderId="0" xfId="0" applyAlignment="1">
      <alignment horizontal="left"/>
    </xf>
    <xf numFmtId="10" fontId="2" fillId="2" borderId="1" xfId="0" applyNumberFormat="1" applyFont="1" applyFill="1" applyBorder="1"/>
    <xf numFmtId="10" fontId="0" fillId="0" borderId="1" xfId="0" applyNumberFormat="1" applyBorder="1"/>
    <xf numFmtId="10" fontId="0" fillId="0" borderId="0" xfId="0" applyNumberFormat="1"/>
    <xf numFmtId="0" fontId="0" fillId="4" borderId="0" xfId="0" applyFill="1"/>
    <xf numFmtId="0" fontId="0" fillId="0" borderId="0" xfId="0" applyFill="1"/>
    <xf numFmtId="166" fontId="0" fillId="0" borderId="1" xfId="0" applyNumberFormat="1" applyBorder="1"/>
    <xf numFmtId="166" fontId="0" fillId="0" borderId="0" xfId="0" applyNumberFormat="1" applyAlignment="1">
      <alignment horizontal="left"/>
    </xf>
    <xf numFmtId="0" fontId="3" fillId="5" borderId="0" xfId="0" applyFont="1" applyFill="1" applyBorder="1" applyAlignment="1">
      <alignment horizontal="center" vertical="center"/>
    </xf>
    <xf numFmtId="3" fontId="4" fillId="4" borderId="1" xfId="1" applyNumberFormat="1" applyFont="1" applyFill="1" applyBorder="1" applyAlignment="1">
      <alignment horizontal="center" vertical="center"/>
    </xf>
    <xf numFmtId="4" fontId="4" fillId="4" borderId="2" xfId="1" applyNumberFormat="1" applyFont="1" applyFill="1" applyBorder="1" applyAlignment="1">
      <alignment horizontal="center" vertical="center"/>
    </xf>
    <xf numFmtId="4" fontId="4" fillId="4" borderId="3" xfId="1" applyNumberFormat="1" applyFont="1" applyFill="1" applyBorder="1" applyAlignment="1">
      <alignment horizontal="center" vertical="center"/>
    </xf>
    <xf numFmtId="4" fontId="4" fillId="4" borderId="4" xfId="1" applyNumberFormat="1" applyFont="1" applyFill="1" applyBorder="1" applyAlignment="1">
      <alignment horizontal="center" vertical="center"/>
    </xf>
    <xf numFmtId="165" fontId="4" fillId="4" borderId="2" xfId="1" applyNumberFormat="1" applyFont="1" applyFill="1" applyBorder="1" applyAlignment="1">
      <alignment horizontal="center" vertical="center"/>
    </xf>
    <xf numFmtId="165" fontId="4" fillId="4" borderId="3" xfId="1" applyNumberFormat="1" applyFont="1" applyFill="1" applyBorder="1" applyAlignment="1">
      <alignment horizontal="center" vertical="center"/>
    </xf>
    <xf numFmtId="165" fontId="4" fillId="4" borderId="4" xfId="1" applyNumberFormat="1" applyFont="1" applyFill="1" applyBorder="1" applyAlignment="1">
      <alignment horizontal="center" vertical="center"/>
    </xf>
    <xf numFmtId="3" fontId="4" fillId="4" borderId="2" xfId="1" applyNumberFormat="1" applyFont="1" applyFill="1" applyBorder="1" applyAlignment="1">
      <alignment horizontal="center" vertical="center"/>
    </xf>
    <xf numFmtId="3" fontId="4" fillId="4" borderId="3" xfId="1" applyNumberFormat="1" applyFont="1" applyFill="1" applyBorder="1" applyAlignment="1">
      <alignment horizontal="center" vertical="center"/>
    </xf>
    <xf numFmtId="3" fontId="4" fillId="4" borderId="4" xfId="1" applyNumberFormat="1" applyFont="1" applyFill="1" applyBorder="1" applyAlignment="1">
      <alignment horizontal="center" vertical="center"/>
    </xf>
    <xf numFmtId="0" fontId="5" fillId="3" borderId="1" xfId="0" applyFont="1" applyFill="1" applyBorder="1" applyAlignment="1">
      <alignment horizontal="center" vertical="center"/>
    </xf>
    <xf numFmtId="0" fontId="0" fillId="4" borderId="0" xfId="0" applyFill="1" applyBorder="1"/>
  </cellXfs>
  <cellStyles count="2">
    <cellStyle name="Comma" xfId="1" builtinId="3"/>
    <cellStyle name="Normal" xfId="0" builtinId="0"/>
  </cellStyles>
  <dxfs count="1">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[Yotube_Analysis_Project.xlsx]Revenue by Time Period!PivotTable3</c:name>
    <c:fmtId val="3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100" b="1"/>
              <a:t>Estimated Revenue (INR) by Time Period</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'Revenue by Time Period'!$B$3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'Revenue by Time Period'!$A$4:$A$8</c:f>
              <c:strCache>
                <c:ptCount val="4"/>
                <c:pt idx="0">
                  <c:v>Last 28 Days</c:v>
                </c:pt>
                <c:pt idx="1">
                  <c:v>Last 90 Days</c:v>
                </c:pt>
                <c:pt idx="2">
                  <c:v>Last 365 Days</c:v>
                </c:pt>
                <c:pt idx="3">
                  <c:v>Older</c:v>
                </c:pt>
              </c:strCache>
            </c:strRef>
          </c:cat>
          <c:val>
            <c:numRef>
              <c:f>'Revenue by Time Period'!$B$4:$B$8</c:f>
              <c:numCache>
                <c:formatCode>General</c:formatCode>
                <c:ptCount val="4"/>
                <c:pt idx="0">
                  <c:v>2</c:v>
                </c:pt>
                <c:pt idx="1">
                  <c:v>77</c:v>
                </c:pt>
                <c:pt idx="2">
                  <c:v>246</c:v>
                </c:pt>
                <c:pt idx="3">
                  <c:v>172</c:v>
                </c:pt>
              </c:numCache>
            </c:numRef>
          </c:val>
        </c:ser>
        <c:dLbls>
          <c:dLblPos val="outEnd"/>
          <c:showLegendKey val="0"/>
          <c:showVal val="1"/>
          <c:showCatName val="0"/>
          <c:showSerName val="0"/>
          <c:showPercent val="0"/>
          <c:showBubbleSize val="0"/>
        </c:dLbls>
        <c:gapWidth val="100"/>
        <c:overlap val="-24"/>
        <c:axId val="-707710256"/>
        <c:axId val="-707707536"/>
      </c:barChart>
      <c:catAx>
        <c:axId val="-70771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07707536"/>
        <c:crosses val="autoZero"/>
        <c:auto val="1"/>
        <c:lblAlgn val="ctr"/>
        <c:lblOffset val="100"/>
        <c:noMultiLvlLbl val="0"/>
      </c:catAx>
      <c:valAx>
        <c:axId val="-70770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07710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[Yotube_Analysis_Project.xlsx]Watch Time by Time Period!PivotTable3</c:name>
    <c:fmtId val="2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100" b="1"/>
              <a:t>Watch Time (Hours) by Time Period</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'Watch Time by Time Period'!$B$3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'Watch Time by Time Period'!$A$4:$A$8</c:f>
              <c:strCache>
                <c:ptCount val="4"/>
                <c:pt idx="0">
                  <c:v>Last 28 Days</c:v>
                </c:pt>
                <c:pt idx="1">
                  <c:v>Last 90 Days</c:v>
                </c:pt>
                <c:pt idx="2">
                  <c:v>Last 365 Days</c:v>
                </c:pt>
                <c:pt idx="3">
                  <c:v>Older</c:v>
                </c:pt>
              </c:strCache>
            </c:strRef>
          </c:cat>
          <c:val>
            <c:numRef>
              <c:f>'Watch Time by Time Period'!$B$4:$B$8</c:f>
              <c:numCache>
                <c:formatCode>General</c:formatCode>
                <c:ptCount val="4"/>
                <c:pt idx="0">
                  <c:v>3.2650999999999999</c:v>
                </c:pt>
                <c:pt idx="1">
                  <c:v>674.96029999999996</c:v>
                </c:pt>
                <c:pt idx="2">
                  <c:v>4722.9914000000044</c:v>
                </c:pt>
                <c:pt idx="3">
                  <c:v>3425.5701000000004</c:v>
                </c:pt>
              </c:numCache>
            </c:numRef>
          </c:val>
        </c:ser>
        <c:dLbls>
          <c:dLblPos val="outEnd"/>
          <c:showLegendKey val="0"/>
          <c:showVal val="1"/>
          <c:showCatName val="0"/>
          <c:showSerName val="0"/>
          <c:showPercent val="0"/>
          <c:showBubbleSize val="0"/>
        </c:dLbls>
        <c:gapWidth val="100"/>
        <c:overlap val="-24"/>
        <c:axId val="-706519248"/>
        <c:axId val="-504750832"/>
      </c:barChart>
      <c:catAx>
        <c:axId val="-70651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4750832"/>
        <c:crosses val="autoZero"/>
        <c:auto val="1"/>
        <c:lblAlgn val="ctr"/>
        <c:lblOffset val="100"/>
        <c:noMultiLvlLbl val="0"/>
      </c:catAx>
      <c:valAx>
        <c:axId val="-50475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06519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[Yotube_Analysis_Project.xlsx]Views by Time Period!PivotTable3</c:name>
    <c:fmtId val="2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Views by Time Period</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'Views by Time Period'!$B$3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'Views by Time Period'!$A$4:$A$8</c:f>
              <c:strCache>
                <c:ptCount val="4"/>
                <c:pt idx="0">
                  <c:v>Last 28 Days</c:v>
                </c:pt>
                <c:pt idx="1">
                  <c:v>Last 90 Days</c:v>
                </c:pt>
                <c:pt idx="2">
                  <c:v>Last 365 Days</c:v>
                </c:pt>
                <c:pt idx="3">
                  <c:v>Older</c:v>
                </c:pt>
              </c:strCache>
            </c:strRef>
          </c:cat>
          <c:val>
            <c:numRef>
              <c:f>'Views by Time Period'!$B$4:$B$8</c:f>
              <c:numCache>
                <c:formatCode>General</c:formatCode>
                <c:ptCount val="4"/>
                <c:pt idx="0">
                  <c:v>1699</c:v>
                </c:pt>
                <c:pt idx="1">
                  <c:v>129637</c:v>
                </c:pt>
                <c:pt idx="2">
                  <c:v>427942</c:v>
                </c:pt>
                <c:pt idx="3">
                  <c:v>409158</c:v>
                </c:pt>
              </c:numCache>
            </c:numRef>
          </c:val>
        </c:ser>
        <c:dLbls>
          <c:dLblPos val="outEnd"/>
          <c:showLegendKey val="0"/>
          <c:showVal val="1"/>
          <c:showCatName val="0"/>
          <c:showSerName val="0"/>
          <c:showPercent val="0"/>
          <c:showBubbleSize val="0"/>
        </c:dLbls>
        <c:gapWidth val="100"/>
        <c:overlap val="-24"/>
        <c:axId val="-504741584"/>
        <c:axId val="-504738864"/>
      </c:barChart>
      <c:catAx>
        <c:axId val="-50474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4738864"/>
        <c:crosses val="autoZero"/>
        <c:auto val="1"/>
        <c:lblAlgn val="ctr"/>
        <c:lblOffset val="100"/>
        <c:noMultiLvlLbl val="0"/>
      </c:catAx>
      <c:valAx>
        <c:axId val="-50473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4741584"/>
        <c:crosses val="autoZero"/>
        <c:crossBetween val="between"/>
        <c:dispUnits>
          <c:builtInUnit val="thousands"/>
          <c:dispUnitsLbl>
            <c:layout/>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[Yotube_Analysis_Project.xlsx]Monthly Trend Chat!PivotTable1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Monthly Views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'Monthly Trend Chat'!$B$3</c:f>
              <c:strCache>
                <c:ptCount val="1"/>
                <c:pt idx="0">
                  <c:v>Total</c:v>
                </c:pt>
              </c:strCache>
            </c:strRef>
          </c:tx>
          <c:spPr>
            <a:ln w="34925" cap="rnd">
              <a:solidFill>
                <a:schemeClr val="accent1"/>
              </a:solidFill>
              <a:round/>
            </a:ln>
            <a:effectLst/>
          </c:spPr>
          <c:marker>
            <c:symbol val="circle"/>
            <c:size val="5"/>
            <c:spPr>
              <a:solidFill>
                <a:schemeClr val="accent1"/>
              </a:solidFill>
              <a:ln w="9525">
                <a:solidFill>
                  <a:schemeClr val="accent1"/>
                </a:solidFill>
              </a:ln>
              <a:effectLst/>
            </c:spPr>
          </c:marker>
          <c:cat>
            <c:strRef>
              <c:f>'Monthly Trend Chat'!$A$4:$A$51</c:f>
              <c:strCache>
                <c:ptCount val="47"/>
                <c:pt idx="0">
                  <c:v>Nov 2019</c:v>
                </c:pt>
                <c:pt idx="1">
                  <c:v>Dec 2019</c:v>
                </c:pt>
                <c:pt idx="2">
                  <c:v>Jan 2020</c:v>
                </c:pt>
                <c:pt idx="3">
                  <c:v>Feb 2020</c:v>
                </c:pt>
                <c:pt idx="4">
                  <c:v>Mar 2022</c:v>
                </c:pt>
                <c:pt idx="5">
                  <c:v>May 2022</c:v>
                </c:pt>
                <c:pt idx="6">
                  <c:v>Jul 2022</c:v>
                </c:pt>
                <c:pt idx="7">
                  <c:v>Aug 2022</c:v>
                </c:pt>
                <c:pt idx="8">
                  <c:v>Sep 2022</c:v>
                </c:pt>
                <c:pt idx="9">
                  <c:v>Nov 2022</c:v>
                </c:pt>
                <c:pt idx="10">
                  <c:v>Dec 2022</c:v>
                </c:pt>
                <c:pt idx="11">
                  <c:v>Jan 2023</c:v>
                </c:pt>
                <c:pt idx="12">
                  <c:v>Feb 2023</c:v>
                </c:pt>
                <c:pt idx="13">
                  <c:v>Mar 2023</c:v>
                </c:pt>
                <c:pt idx="14">
                  <c:v>Apr 2023</c:v>
                </c:pt>
                <c:pt idx="15">
                  <c:v>Jun 2023</c:v>
                </c:pt>
                <c:pt idx="16">
                  <c:v>Jul 2023</c:v>
                </c:pt>
                <c:pt idx="17">
                  <c:v>Aug 2023</c:v>
                </c:pt>
                <c:pt idx="18">
                  <c:v>Sep 2023</c:v>
                </c:pt>
                <c:pt idx="19">
                  <c:v>Oct 2023</c:v>
                </c:pt>
                <c:pt idx="20">
                  <c:v>Nov 2023</c:v>
                </c:pt>
                <c:pt idx="21">
                  <c:v>Dec 2023</c:v>
                </c:pt>
                <c:pt idx="22">
                  <c:v>Jan 2024</c:v>
                </c:pt>
                <c:pt idx="23">
                  <c:v>Feb 2024</c:v>
                </c:pt>
                <c:pt idx="24">
                  <c:v>Mar 2024</c:v>
                </c:pt>
                <c:pt idx="25">
                  <c:v>Apr 2024</c:v>
                </c:pt>
                <c:pt idx="26">
                  <c:v>May 2024</c:v>
                </c:pt>
                <c:pt idx="27">
                  <c:v>Jun 2024</c:v>
                </c:pt>
                <c:pt idx="28">
                  <c:v>Jul 2024</c:v>
                </c:pt>
                <c:pt idx="29">
                  <c:v>Aug 2024</c:v>
                </c:pt>
                <c:pt idx="30">
                  <c:v>Sep 2024</c:v>
                </c:pt>
                <c:pt idx="31">
                  <c:v>Oct 2024</c:v>
                </c:pt>
                <c:pt idx="32">
                  <c:v>Nov 2024</c:v>
                </c:pt>
                <c:pt idx="33">
                  <c:v>Dec 2024</c:v>
                </c:pt>
                <c:pt idx="34">
                  <c:v>Jan 2025</c:v>
                </c:pt>
                <c:pt idx="35">
                  <c:v>Feb 2025</c:v>
                </c:pt>
                <c:pt idx="36">
                  <c:v>Mar 2025</c:v>
                </c:pt>
                <c:pt idx="37">
                  <c:v>Apr 2025</c:v>
                </c:pt>
                <c:pt idx="38">
                  <c:v>May 2025</c:v>
                </c:pt>
                <c:pt idx="39">
                  <c:v>Jun 2025</c:v>
                </c:pt>
                <c:pt idx="40">
                  <c:v>Jul 2025</c:v>
                </c:pt>
                <c:pt idx="41">
                  <c:v>Aug 2025</c:v>
                </c:pt>
                <c:pt idx="42">
                  <c:v>Sep 2025</c:v>
                </c:pt>
                <c:pt idx="43">
                  <c:v>Oct 2025</c:v>
                </c:pt>
                <c:pt idx="44">
                  <c:v>Nov 2025</c:v>
                </c:pt>
                <c:pt idx="45">
                  <c:v>Dec 2025</c:v>
                </c:pt>
                <c:pt idx="46">
                  <c:v>Jan 2026</c:v>
                </c:pt>
              </c:strCache>
            </c:strRef>
          </c:cat>
          <c:val>
            <c:numRef>
              <c:f>'Monthly Trend Chat'!$B$4:$B$51</c:f>
              <c:numCache>
                <c:formatCode>General</c:formatCode>
                <c:ptCount val="47"/>
                <c:pt idx="0">
                  <c:v>1249</c:v>
                </c:pt>
                <c:pt idx="1">
                  <c:v>3156</c:v>
                </c:pt>
                <c:pt idx="2">
                  <c:v>1764</c:v>
                </c:pt>
                <c:pt idx="3">
                  <c:v>1895</c:v>
                </c:pt>
                <c:pt idx="4">
                  <c:v>1719</c:v>
                </c:pt>
                <c:pt idx="5">
                  <c:v>715</c:v>
                </c:pt>
                <c:pt idx="6">
                  <c:v>688</c:v>
                </c:pt>
                <c:pt idx="7">
                  <c:v>1697</c:v>
                </c:pt>
                <c:pt idx="8">
                  <c:v>1275</c:v>
                </c:pt>
                <c:pt idx="9">
                  <c:v>4282</c:v>
                </c:pt>
                <c:pt idx="10">
                  <c:v>1826</c:v>
                </c:pt>
                <c:pt idx="11">
                  <c:v>758</c:v>
                </c:pt>
                <c:pt idx="12">
                  <c:v>3455</c:v>
                </c:pt>
                <c:pt idx="13">
                  <c:v>4585</c:v>
                </c:pt>
                <c:pt idx="14">
                  <c:v>5696</c:v>
                </c:pt>
                <c:pt idx="15">
                  <c:v>2411</c:v>
                </c:pt>
                <c:pt idx="16">
                  <c:v>13773</c:v>
                </c:pt>
                <c:pt idx="17">
                  <c:v>62939</c:v>
                </c:pt>
                <c:pt idx="18">
                  <c:v>6862</c:v>
                </c:pt>
                <c:pt idx="19">
                  <c:v>11680</c:v>
                </c:pt>
                <c:pt idx="20">
                  <c:v>4652</c:v>
                </c:pt>
                <c:pt idx="21">
                  <c:v>14974</c:v>
                </c:pt>
                <c:pt idx="22">
                  <c:v>685</c:v>
                </c:pt>
                <c:pt idx="23">
                  <c:v>1168</c:v>
                </c:pt>
                <c:pt idx="24">
                  <c:v>4782</c:v>
                </c:pt>
                <c:pt idx="25">
                  <c:v>657</c:v>
                </c:pt>
                <c:pt idx="26">
                  <c:v>2336</c:v>
                </c:pt>
                <c:pt idx="27">
                  <c:v>2362</c:v>
                </c:pt>
                <c:pt idx="28">
                  <c:v>1328</c:v>
                </c:pt>
                <c:pt idx="29">
                  <c:v>81556</c:v>
                </c:pt>
                <c:pt idx="30">
                  <c:v>3984</c:v>
                </c:pt>
                <c:pt idx="31">
                  <c:v>4421</c:v>
                </c:pt>
                <c:pt idx="32">
                  <c:v>20466</c:v>
                </c:pt>
                <c:pt idx="33">
                  <c:v>16539</c:v>
                </c:pt>
                <c:pt idx="34">
                  <c:v>34123</c:v>
                </c:pt>
                <c:pt idx="35">
                  <c:v>94666</c:v>
                </c:pt>
                <c:pt idx="36">
                  <c:v>59023</c:v>
                </c:pt>
                <c:pt idx="37">
                  <c:v>23460</c:v>
                </c:pt>
                <c:pt idx="38">
                  <c:v>29796</c:v>
                </c:pt>
                <c:pt idx="39">
                  <c:v>31559</c:v>
                </c:pt>
                <c:pt idx="40">
                  <c:v>38287</c:v>
                </c:pt>
                <c:pt idx="41">
                  <c:v>35305</c:v>
                </c:pt>
                <c:pt idx="42">
                  <c:v>22807</c:v>
                </c:pt>
                <c:pt idx="43">
                  <c:v>38843</c:v>
                </c:pt>
                <c:pt idx="44">
                  <c:v>151353</c:v>
                </c:pt>
                <c:pt idx="45">
                  <c:v>88991</c:v>
                </c:pt>
                <c:pt idx="46">
                  <c:v>27888</c:v>
                </c:pt>
              </c:numCache>
            </c:numRef>
          </c:val>
          <c:smooth val="0"/>
        </c:ser>
        <c:dLbls>
          <c:showLegendKey val="0"/>
          <c:showVal val="0"/>
          <c:showCatName val="0"/>
          <c:showSerName val="0"/>
          <c:showPercent val="0"/>
          <c:showBubbleSize val="0"/>
        </c:dLbls>
        <c:marker val="1"/>
        <c:smooth val="0"/>
        <c:axId val="-504736688"/>
        <c:axId val="-504744304"/>
      </c:lineChart>
      <c:dateAx>
        <c:axId val="-504736688"/>
        <c:scaling>
          <c:orientation val="minMax"/>
        </c:scaling>
        <c:delete val="0"/>
        <c:axPos val="b"/>
        <c:numFmt formatCode="General" sourceLinked="1"/>
        <c:majorTickMark val="out"/>
        <c:minorTickMark val="none"/>
        <c:tickLblPos val="low"/>
        <c:spPr>
          <a:noFill/>
          <a:ln w="1587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44304"/>
        <c:crosses val="autoZero"/>
        <c:auto val="0"/>
        <c:lblOffset val="100"/>
        <c:baseTimeUnit val="days"/>
        <c:majorUnit val="4"/>
      </c:dateAx>
      <c:valAx>
        <c:axId val="-50474430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3668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[Yotube_Analysis_Project.xlsx]Top 5 Videos!PivotTable3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5 Videos by Views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0070C0"/>
          </a:solidFill>
          <a:ln>
            <a:noFill/>
          </a:ln>
          <a:effectLst/>
        </c:spPr>
      </c:pivotFmt>
    </c:pivotFmts>
    <c:plotArea>
      <c:layout/>
      <c:barChart>
        <c:barDir val="bar"/>
        <c:grouping val="clustered"/>
        <c:varyColors val="0"/>
        <c:ser>
          <c:idx val="0"/>
          <c:order val="0"/>
          <c:tx>
            <c:strRef>
              <c:f>'Top 5 Videos'!$B$3</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Videos'!$A$4:$A$9</c:f>
              <c:strCache>
                <c:ptCount val="5"/>
                <c:pt idx="0">
                  <c:v>Metro Pride Thakurli | 1 &amp; 2BHK Flats Re</c:v>
                </c:pt>
                <c:pt idx="1">
                  <c:v>1BHK in Dombivli For Urgent Sale..! | Be</c:v>
                </c:pt>
                <c:pt idx="2">
                  <c:v>2 Bhk Flat In Kalyan For Sale | 2 Bhk Fl</c:v>
                </c:pt>
                <c:pt idx="3">
                  <c:v>7021988393 | Ready &amp; Affordable 1 &amp; 2 B</c:v>
                </c:pt>
                <c:pt idx="4">
                  <c:v>Call 7021988393 | Kohinoor Gardens Shaha</c:v>
                </c:pt>
              </c:strCache>
            </c:strRef>
          </c:cat>
          <c:val>
            <c:numRef>
              <c:f>'Top 5 Videos'!$B$4:$B$9</c:f>
              <c:numCache>
                <c:formatCode>General</c:formatCode>
                <c:ptCount val="5"/>
                <c:pt idx="0">
                  <c:v>77801</c:v>
                </c:pt>
                <c:pt idx="1">
                  <c:v>59152</c:v>
                </c:pt>
                <c:pt idx="2">
                  <c:v>43867</c:v>
                </c:pt>
                <c:pt idx="3">
                  <c:v>33514</c:v>
                </c:pt>
                <c:pt idx="4">
                  <c:v>32880</c:v>
                </c:pt>
              </c:numCache>
            </c:numRef>
          </c:val>
        </c:ser>
        <c:dLbls>
          <c:dLblPos val="outEnd"/>
          <c:showLegendKey val="0"/>
          <c:showVal val="1"/>
          <c:showCatName val="0"/>
          <c:showSerName val="0"/>
          <c:showPercent val="0"/>
          <c:showBubbleSize val="0"/>
        </c:dLbls>
        <c:gapWidth val="50"/>
        <c:axId val="-504742672"/>
        <c:axId val="-504742128"/>
      </c:barChart>
      <c:catAx>
        <c:axId val="-504742672"/>
        <c:scaling>
          <c:orientation val="maxMin"/>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42128"/>
        <c:crosses val="autoZero"/>
        <c:auto val="1"/>
        <c:lblAlgn val="ctr"/>
        <c:lblOffset val="100"/>
        <c:noMultiLvlLbl val="0"/>
      </c:catAx>
      <c:valAx>
        <c:axId val="-504742128"/>
        <c:scaling>
          <c:orientation val="minMax"/>
        </c:scaling>
        <c:delete val="0"/>
        <c:axPos val="t"/>
        <c:numFmt formatCode="#,##0,&quot;K&quot;" sourceLinked="0"/>
        <c:majorTickMark val="none"/>
        <c:minorTickMark val="none"/>
        <c:tickLblPos val="high"/>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426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[Yotube_Analysis_Project.xlsx]Revenue Contribution by Time!PivotTable4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Revenue Contribution by Time Period (%)</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s>
    <c:plotArea>
      <c:layout/>
      <c:pieChart>
        <c:varyColors val="1"/>
        <c:ser>
          <c:idx val="0"/>
          <c:order val="0"/>
          <c:tx>
            <c:strRef>
              <c:f>'Revenue Contribution by Time'!$B$3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1">
                  <a:lumMod val="60000"/>
                  <a:lumOff val="40000"/>
                </a:schemeClr>
              </a:solidFill>
              <a:ln w="19050">
                <a:solidFill>
                  <a:schemeClr val="lt1"/>
                </a:solidFill>
              </a:ln>
              <a:effectLst/>
            </c:spPr>
          </c:dPt>
          <c:dPt>
            <c:idx val="2"/>
            <c:bubble3D val="0"/>
            <c:spPr>
              <a:solidFill>
                <a:schemeClr val="accent1">
                  <a:lumMod val="40000"/>
                  <a:lumOff val="60000"/>
                </a:schemeClr>
              </a:solidFill>
              <a:ln w="19050">
                <a:solidFill>
                  <a:schemeClr val="lt1"/>
                </a:solidFill>
              </a:ln>
              <a:effectLst/>
            </c:spPr>
          </c:dPt>
          <c:dPt>
            <c:idx val="3"/>
            <c:bubble3D val="0"/>
            <c:spPr>
              <a:solidFill>
                <a:schemeClr val="accent1">
                  <a:lumMod val="75000"/>
                </a:schemeClr>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'Revenue Contribution by Time'!$A$4:$A$8</c:f>
              <c:strCache>
                <c:ptCount val="4"/>
                <c:pt idx="0">
                  <c:v>Last 28 Days</c:v>
                </c:pt>
                <c:pt idx="1">
                  <c:v>Last 365 Days</c:v>
                </c:pt>
                <c:pt idx="2">
                  <c:v>Last 90 Days</c:v>
                </c:pt>
                <c:pt idx="3">
                  <c:v>Older</c:v>
                </c:pt>
              </c:strCache>
            </c:strRef>
          </c:cat>
          <c:val>
            <c:numRef>
              <c:f>'Revenue Contribution by Time'!$B$4:$B$8</c:f>
              <c:numCache>
                <c:formatCode>General</c:formatCode>
                <c:ptCount val="4"/>
                <c:pt idx="0">
                  <c:v>0.46</c:v>
                </c:pt>
                <c:pt idx="1">
                  <c:v>2498.0910000000008</c:v>
                </c:pt>
                <c:pt idx="2">
                  <c:v>208.27899999999991</c:v>
                </c:pt>
                <c:pt idx="3">
                  <c:v>6348.8910000000005</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[Yotube_Analysis_Project.xlsx]Monthly Subscribers Growth!PivotTable5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Subscribers Growth</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rgbClr val="0070C0"/>
            </a:solidFill>
            <a:round/>
          </a:ln>
          <a:effectLst/>
        </c:spPr>
      </c:pivotFmt>
      <c:pivotFmt>
        <c:idx val="2"/>
        <c:spPr>
          <a:ln w="28575" cap="rnd">
            <a:solidFill>
              <a:srgbClr val="0070C0"/>
            </a:solidFill>
            <a:round/>
          </a:ln>
          <a:effectLst/>
        </c:spPr>
      </c:pivotFmt>
      <c:pivotFmt>
        <c:idx val="3"/>
        <c:spPr>
          <a:ln w="28575" cap="rnd">
            <a:solidFill>
              <a:srgbClr val="0070C0"/>
            </a:solidFill>
            <a:round/>
          </a:ln>
          <a:effectLst/>
        </c:spPr>
        <c:marker>
          <c:symbol val="none"/>
        </c:marker>
      </c:pivotFmt>
      <c:pivotFmt>
        <c:idx val="4"/>
        <c:spPr>
          <a:ln w="28575" cap="rnd">
            <a:solidFill>
              <a:srgbClr val="0070C0"/>
            </a:solidFill>
            <a:round/>
          </a:ln>
          <a:effectLst/>
        </c:spPr>
        <c:marker>
          <c:symbol val="none"/>
        </c:marker>
      </c:pivotFmt>
    </c:pivotFmts>
    <c:plotArea>
      <c:layout/>
      <c:lineChart>
        <c:grouping val="standard"/>
        <c:varyColors val="0"/>
        <c:ser>
          <c:idx val="0"/>
          <c:order val="0"/>
          <c:tx>
            <c:strRef>
              <c:f>'Monthly Subscribers Growth'!$B$3</c:f>
              <c:strCache>
                <c:ptCount val="1"/>
                <c:pt idx="0">
                  <c:v>Total</c:v>
                </c:pt>
              </c:strCache>
            </c:strRef>
          </c:tx>
          <c:spPr>
            <a:ln w="28575" cap="rnd">
              <a:solidFill>
                <a:schemeClr val="accent1"/>
              </a:solidFill>
              <a:round/>
            </a:ln>
            <a:effectLst/>
          </c:spPr>
          <c:marker>
            <c:symbol val="none"/>
          </c:marker>
          <c:dPt>
            <c:idx val="35"/>
            <c:marker>
              <c:symbol val="none"/>
            </c:marker>
            <c:bubble3D val="0"/>
            <c:spPr>
              <a:ln w="28575" cap="rnd">
                <a:solidFill>
                  <a:srgbClr val="0070C0"/>
                </a:solidFill>
                <a:round/>
              </a:ln>
              <a:effectLst/>
            </c:spPr>
          </c:dPt>
          <c:dPt>
            <c:idx val="36"/>
            <c:marker>
              <c:symbol val="none"/>
            </c:marker>
            <c:bubble3D val="0"/>
            <c:spPr>
              <a:ln w="28575" cap="rnd">
                <a:solidFill>
                  <a:srgbClr val="0070C0"/>
                </a:solidFill>
                <a:round/>
              </a:ln>
              <a:effectLst/>
            </c:spPr>
          </c:dPt>
          <c:cat>
            <c:strRef>
              <c:f>'Monthly Subscribers Growth'!$A$4:$A$51</c:f>
              <c:strCache>
                <c:ptCount val="47"/>
                <c:pt idx="0">
                  <c:v>Nov 2019</c:v>
                </c:pt>
                <c:pt idx="1">
                  <c:v>Dec 2019</c:v>
                </c:pt>
                <c:pt idx="2">
                  <c:v>Jan 2020</c:v>
                </c:pt>
                <c:pt idx="3">
                  <c:v>Feb 2020</c:v>
                </c:pt>
                <c:pt idx="4">
                  <c:v>Mar 2022</c:v>
                </c:pt>
                <c:pt idx="5">
                  <c:v>May 2022</c:v>
                </c:pt>
                <c:pt idx="6">
                  <c:v>Jul 2022</c:v>
                </c:pt>
                <c:pt idx="7">
                  <c:v>Aug 2022</c:v>
                </c:pt>
                <c:pt idx="8">
                  <c:v>Sep 2022</c:v>
                </c:pt>
                <c:pt idx="9">
                  <c:v>Nov 2022</c:v>
                </c:pt>
                <c:pt idx="10">
                  <c:v>Dec 2022</c:v>
                </c:pt>
                <c:pt idx="11">
                  <c:v>Jan 2023</c:v>
                </c:pt>
                <c:pt idx="12">
                  <c:v>Feb 2023</c:v>
                </c:pt>
                <c:pt idx="13">
                  <c:v>Mar 2023</c:v>
                </c:pt>
                <c:pt idx="14">
                  <c:v>Apr 2023</c:v>
                </c:pt>
                <c:pt idx="15">
                  <c:v>Jun 2023</c:v>
                </c:pt>
                <c:pt idx="16">
                  <c:v>Jul 2023</c:v>
                </c:pt>
                <c:pt idx="17">
                  <c:v>Aug 2023</c:v>
                </c:pt>
                <c:pt idx="18">
                  <c:v>Sep 2023</c:v>
                </c:pt>
                <c:pt idx="19">
                  <c:v>Oct 2023</c:v>
                </c:pt>
                <c:pt idx="20">
                  <c:v>Nov 2023</c:v>
                </c:pt>
                <c:pt idx="21">
                  <c:v>Dec 2023</c:v>
                </c:pt>
                <c:pt idx="22">
                  <c:v>Jan 2024</c:v>
                </c:pt>
                <c:pt idx="23">
                  <c:v>Feb 2024</c:v>
                </c:pt>
                <c:pt idx="24">
                  <c:v>Mar 2024</c:v>
                </c:pt>
                <c:pt idx="25">
                  <c:v>Apr 2024</c:v>
                </c:pt>
                <c:pt idx="26">
                  <c:v>May 2024</c:v>
                </c:pt>
                <c:pt idx="27">
                  <c:v>Jun 2024</c:v>
                </c:pt>
                <c:pt idx="28">
                  <c:v>Jul 2024</c:v>
                </c:pt>
                <c:pt idx="29">
                  <c:v>Aug 2024</c:v>
                </c:pt>
                <c:pt idx="30">
                  <c:v>Sep 2024</c:v>
                </c:pt>
                <c:pt idx="31">
                  <c:v>Oct 2024</c:v>
                </c:pt>
                <c:pt idx="32">
                  <c:v>Nov 2024</c:v>
                </c:pt>
                <c:pt idx="33">
                  <c:v>Dec 2024</c:v>
                </c:pt>
                <c:pt idx="34">
                  <c:v>Jan 2025</c:v>
                </c:pt>
                <c:pt idx="35">
                  <c:v>Feb 2025</c:v>
                </c:pt>
                <c:pt idx="36">
                  <c:v>Mar 2025</c:v>
                </c:pt>
                <c:pt idx="37">
                  <c:v>Apr 2025</c:v>
                </c:pt>
                <c:pt idx="38">
                  <c:v>May 2025</c:v>
                </c:pt>
                <c:pt idx="39">
                  <c:v>Jun 2025</c:v>
                </c:pt>
                <c:pt idx="40">
                  <c:v>Jul 2025</c:v>
                </c:pt>
                <c:pt idx="41">
                  <c:v>Aug 2025</c:v>
                </c:pt>
                <c:pt idx="42">
                  <c:v>Sep 2025</c:v>
                </c:pt>
                <c:pt idx="43">
                  <c:v>Oct 2025</c:v>
                </c:pt>
                <c:pt idx="44">
                  <c:v>Nov 2025</c:v>
                </c:pt>
                <c:pt idx="45">
                  <c:v>Dec 2025</c:v>
                </c:pt>
                <c:pt idx="46">
                  <c:v>Jan 2026</c:v>
                </c:pt>
              </c:strCache>
            </c:strRef>
          </c:cat>
          <c:val>
            <c:numRef>
              <c:f>'Monthly Subscribers Growth'!$B$4:$B$51</c:f>
              <c:numCache>
                <c:formatCode>General</c:formatCode>
                <c:ptCount val="47"/>
                <c:pt idx="0">
                  <c:v>1</c:v>
                </c:pt>
                <c:pt idx="1">
                  <c:v>6</c:v>
                </c:pt>
                <c:pt idx="2">
                  <c:v>6</c:v>
                </c:pt>
                <c:pt idx="3">
                  <c:v>8</c:v>
                </c:pt>
                <c:pt idx="4">
                  <c:v>8</c:v>
                </c:pt>
                <c:pt idx="5">
                  <c:v>1</c:v>
                </c:pt>
                <c:pt idx="6">
                  <c:v>1</c:v>
                </c:pt>
                <c:pt idx="7">
                  <c:v>1</c:v>
                </c:pt>
                <c:pt idx="8">
                  <c:v>0</c:v>
                </c:pt>
                <c:pt idx="9">
                  <c:v>4</c:v>
                </c:pt>
                <c:pt idx="10">
                  <c:v>6</c:v>
                </c:pt>
                <c:pt idx="11">
                  <c:v>3</c:v>
                </c:pt>
                <c:pt idx="12">
                  <c:v>2</c:v>
                </c:pt>
                <c:pt idx="13">
                  <c:v>4</c:v>
                </c:pt>
                <c:pt idx="14">
                  <c:v>17</c:v>
                </c:pt>
                <c:pt idx="15">
                  <c:v>7</c:v>
                </c:pt>
                <c:pt idx="16">
                  <c:v>23</c:v>
                </c:pt>
                <c:pt idx="17">
                  <c:v>66</c:v>
                </c:pt>
                <c:pt idx="18">
                  <c:v>6</c:v>
                </c:pt>
                <c:pt idx="19">
                  <c:v>25</c:v>
                </c:pt>
                <c:pt idx="20">
                  <c:v>5</c:v>
                </c:pt>
                <c:pt idx="21">
                  <c:v>32</c:v>
                </c:pt>
                <c:pt idx="22">
                  <c:v>1</c:v>
                </c:pt>
                <c:pt idx="23">
                  <c:v>0</c:v>
                </c:pt>
                <c:pt idx="24">
                  <c:v>5</c:v>
                </c:pt>
                <c:pt idx="25">
                  <c:v>2</c:v>
                </c:pt>
                <c:pt idx="26">
                  <c:v>0</c:v>
                </c:pt>
                <c:pt idx="27">
                  <c:v>3</c:v>
                </c:pt>
                <c:pt idx="28">
                  <c:v>3</c:v>
                </c:pt>
                <c:pt idx="29">
                  <c:v>103</c:v>
                </c:pt>
                <c:pt idx="30">
                  <c:v>12</c:v>
                </c:pt>
                <c:pt idx="31">
                  <c:v>4</c:v>
                </c:pt>
                <c:pt idx="32">
                  <c:v>16</c:v>
                </c:pt>
                <c:pt idx="33">
                  <c:v>25</c:v>
                </c:pt>
                <c:pt idx="34">
                  <c:v>46</c:v>
                </c:pt>
                <c:pt idx="35">
                  <c:v>313</c:v>
                </c:pt>
                <c:pt idx="36">
                  <c:v>709</c:v>
                </c:pt>
                <c:pt idx="37">
                  <c:v>254</c:v>
                </c:pt>
                <c:pt idx="38">
                  <c:v>212</c:v>
                </c:pt>
                <c:pt idx="39">
                  <c:v>68</c:v>
                </c:pt>
                <c:pt idx="40">
                  <c:v>100</c:v>
                </c:pt>
                <c:pt idx="41">
                  <c:v>27</c:v>
                </c:pt>
                <c:pt idx="42">
                  <c:v>24</c:v>
                </c:pt>
                <c:pt idx="43">
                  <c:v>27</c:v>
                </c:pt>
                <c:pt idx="44">
                  <c:v>44</c:v>
                </c:pt>
                <c:pt idx="45">
                  <c:v>39</c:v>
                </c:pt>
                <c:pt idx="46">
                  <c:v>16</c:v>
                </c:pt>
              </c:numCache>
            </c:numRef>
          </c:val>
          <c:smooth val="0"/>
        </c:ser>
        <c:dLbls>
          <c:showLegendKey val="0"/>
          <c:showVal val="0"/>
          <c:showCatName val="0"/>
          <c:showSerName val="0"/>
          <c:showPercent val="0"/>
          <c:showBubbleSize val="0"/>
        </c:dLbls>
        <c:smooth val="0"/>
        <c:axId val="-295936208"/>
        <c:axId val="-295920432"/>
      </c:lineChart>
      <c:catAx>
        <c:axId val="-29593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20432"/>
        <c:crosses val="autoZero"/>
        <c:auto val="1"/>
        <c:lblAlgn val="ctr"/>
        <c:lblOffset val="100"/>
        <c:tickLblSkip val="4"/>
        <c:noMultiLvlLbl val="0"/>
      </c:catAx>
      <c:valAx>
        <c:axId val="-295920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362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[Yotube_Analysis_Project.xlsx]Audience Distribution by Age!PivotTable4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Audience Distribution by Age (%)</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'Audience Distribution by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'Audience Distribution by Age'!$A$4:$A$11</c:f>
              <c:strCache>
                <c:ptCount val="7"/>
                <c:pt idx="0">
                  <c:v>65+ years</c:v>
                </c:pt>
                <c:pt idx="1">
                  <c:v>55 to 64 years</c:v>
                </c:pt>
                <c:pt idx="2">
                  <c:v>45 to 54 years</c:v>
                </c:pt>
                <c:pt idx="3">
                  <c:v>35 to 44 years</c:v>
                </c:pt>
                <c:pt idx="4">
                  <c:v>25 to 34 years</c:v>
                </c:pt>
                <c:pt idx="5">
                  <c:v>18 to 24 years</c:v>
                </c:pt>
                <c:pt idx="6">
                  <c:v>13 to 17 years</c:v>
                </c:pt>
              </c:strCache>
            </c:strRef>
          </c:cat>
          <c:val>
            <c:numRef>
              <c:f>'Audience Distribution by Age'!$B$4:$B$11</c:f>
              <c:numCache>
                <c:formatCode>0.00%</c:formatCode>
                <c:ptCount val="7"/>
                <c:pt idx="0">
                  <c:v>2.92E-2</c:v>
                </c:pt>
                <c:pt idx="1">
                  <c:v>7.5399999999999995E-2</c:v>
                </c:pt>
                <c:pt idx="2">
                  <c:v>0.14300000000000002</c:v>
                </c:pt>
                <c:pt idx="3">
                  <c:v>0.28499999999999998</c:v>
                </c:pt>
                <c:pt idx="4">
                  <c:v>0.3503</c:v>
                </c:pt>
                <c:pt idx="5">
                  <c:v>0.11170000000000001</c:v>
                </c:pt>
                <c:pt idx="6">
                  <c:v>5.4000000000000003E-3</c:v>
                </c:pt>
              </c:numCache>
            </c:numRef>
          </c:val>
        </c:ser>
        <c:dLbls>
          <c:dLblPos val="outEnd"/>
          <c:showLegendKey val="0"/>
          <c:showVal val="1"/>
          <c:showCatName val="0"/>
          <c:showSerName val="0"/>
          <c:showPercent val="0"/>
          <c:showBubbleSize val="0"/>
        </c:dLbls>
        <c:gapWidth val="182"/>
        <c:axId val="-504743760"/>
        <c:axId val="-504744848"/>
      </c:barChart>
      <c:catAx>
        <c:axId val="-50474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44848"/>
        <c:crosses val="autoZero"/>
        <c:auto val="1"/>
        <c:lblAlgn val="ctr"/>
        <c:lblOffset val="100"/>
        <c:noMultiLvlLbl val="0"/>
      </c:catAx>
      <c:valAx>
        <c:axId val="-50474484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43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[Yotube_Analysis_Project.xlsx]Audience Distribution by Age!PivotTable4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Audience Distribution by Age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3"/>
          </a:solidFill>
          <a:ln w="25400">
            <a:solidFill>
              <a:schemeClr val="lt1"/>
            </a:solidFill>
          </a:ln>
          <a:effectLst/>
          <a:sp3d contourW="25400">
            <a:contourClr>
              <a:schemeClr val="lt1"/>
            </a:contourClr>
          </a:sp3d>
        </c:spPr>
      </c:pivotFmt>
      <c:pivotFmt>
        <c:idx val="4"/>
        <c:spPr>
          <a:solidFill>
            <a:schemeClr val="accent4"/>
          </a:solidFill>
          <a:ln w="25400">
            <a:solidFill>
              <a:schemeClr val="lt1"/>
            </a:solidFill>
          </a:ln>
          <a:effectLst/>
          <a:sp3d contourW="25400">
            <a:contourClr>
              <a:schemeClr val="lt1"/>
            </a:contourClr>
          </a:sp3d>
        </c:spPr>
      </c:pivotFmt>
      <c:pivotFmt>
        <c:idx val="5"/>
        <c:spPr>
          <a:solidFill>
            <a:schemeClr val="accent5"/>
          </a:solidFill>
          <a:ln w="25400">
            <a:solidFill>
              <a:schemeClr val="lt1"/>
            </a:solidFill>
          </a:ln>
          <a:effectLst/>
          <a:sp3d contourW="25400">
            <a:contourClr>
              <a:schemeClr val="lt1"/>
            </a:contourClr>
          </a:sp3d>
        </c:spPr>
      </c:pivotFmt>
      <c:pivotFmt>
        <c:idx val="6"/>
        <c:spPr>
          <a:solidFill>
            <a:schemeClr val="accent6"/>
          </a:solidFill>
          <a:ln w="25400">
            <a:solidFill>
              <a:schemeClr val="lt1"/>
            </a:solidFill>
          </a:ln>
          <a:effectLst/>
          <a:sp3d contourW="25400">
            <a:contourClr>
              <a:schemeClr val="lt1"/>
            </a:contourClr>
          </a:sp3d>
        </c:spPr>
      </c:pivotFmt>
      <c:pivotFmt>
        <c:idx val="7"/>
        <c:spPr>
          <a:solidFill>
            <a:schemeClr val="accent1">
              <a:lumMod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'Audience Distribution by Age'!$B$3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'Audience Distribution by Age'!$A$4:$A$11</c:f>
              <c:strCache>
                <c:ptCount val="7"/>
                <c:pt idx="0">
                  <c:v>65+ years</c:v>
                </c:pt>
                <c:pt idx="1">
                  <c:v>55 to 64 years</c:v>
                </c:pt>
                <c:pt idx="2">
                  <c:v>45 to 54 years</c:v>
                </c:pt>
                <c:pt idx="3">
                  <c:v>35 to 44 years</c:v>
                </c:pt>
                <c:pt idx="4">
                  <c:v>25 to 34 years</c:v>
                </c:pt>
                <c:pt idx="5">
                  <c:v>18 to 24 years</c:v>
                </c:pt>
                <c:pt idx="6">
                  <c:v>13 to 17 years</c:v>
                </c:pt>
              </c:strCache>
            </c:strRef>
          </c:cat>
          <c:val>
            <c:numRef>
              <c:f>'Audience Distribution by Age'!$B$4:$B$11</c:f>
              <c:numCache>
                <c:formatCode>0.00%</c:formatCode>
                <c:ptCount val="7"/>
                <c:pt idx="0">
                  <c:v>2.92E-2</c:v>
                </c:pt>
                <c:pt idx="1">
                  <c:v>7.5399999999999995E-2</c:v>
                </c:pt>
                <c:pt idx="2">
                  <c:v>0.14300000000000002</c:v>
                </c:pt>
                <c:pt idx="3">
                  <c:v>0.28499999999999998</c:v>
                </c:pt>
                <c:pt idx="4">
                  <c:v>0.3503</c:v>
                </c:pt>
                <c:pt idx="5">
                  <c:v>0.11170000000000001</c:v>
                </c:pt>
                <c:pt idx="6">
                  <c:v>5.4000000000000003E-3</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4190957904356025"/>
          <c:y val="0.24357650288124968"/>
          <c:w val="0.18960617043798372"/>
          <c:h val="0.634430838403881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[Yotube_Analysis_Project.xlsx]Views by Time Period!PivotTable3</c:name>
    <c:fmtId val="3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1">
                <a:solidFill>
                  <a:schemeClr val="tx1"/>
                </a:solidFill>
              </a:rPr>
              <a:t>Views by Time Period</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0070C0"/>
          </a:solidFill>
          <a:ln w="9525" cap="flat" cmpd="sng" algn="ctr">
            <a:solidFill>
              <a:schemeClr val="accent1">
                <a:shade val="95000"/>
              </a:schemeClr>
            </a:solidFill>
            <a:round/>
          </a:ln>
          <a:effectLst/>
        </c:spPr>
      </c:pivotFmt>
    </c:pivotFmts>
    <c:plotArea>
      <c:layout/>
      <c:barChart>
        <c:barDir val="col"/>
        <c:grouping val="clustered"/>
        <c:varyColors val="0"/>
        <c:ser>
          <c:idx val="0"/>
          <c:order val="0"/>
          <c:tx>
            <c:strRef>
              <c:f>'Views by Time Period'!$B$3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2"/>
            <c:invertIfNegative val="0"/>
            <c:bubble3D val="0"/>
            <c:spPr>
              <a:solidFill>
                <a:srgbClr val="0070C0"/>
              </a:solidFill>
              <a:ln w="9525" cap="flat" cmpd="sng" algn="ctr">
                <a:solidFill>
                  <a:schemeClr val="accent1">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'Views by Time Period'!$A$4:$A$8</c:f>
              <c:strCache>
                <c:ptCount val="4"/>
                <c:pt idx="0">
                  <c:v>Last 28 Days</c:v>
                </c:pt>
                <c:pt idx="1">
                  <c:v>Last 90 Days</c:v>
                </c:pt>
                <c:pt idx="2">
                  <c:v>Last 365 Days</c:v>
                </c:pt>
                <c:pt idx="3">
                  <c:v>Older</c:v>
                </c:pt>
              </c:strCache>
            </c:strRef>
          </c:cat>
          <c:val>
            <c:numRef>
              <c:f>'Views by Time Period'!$B$4:$B$8</c:f>
              <c:numCache>
                <c:formatCode>General</c:formatCode>
                <c:ptCount val="4"/>
                <c:pt idx="0">
                  <c:v>1699</c:v>
                </c:pt>
                <c:pt idx="1">
                  <c:v>129637</c:v>
                </c:pt>
                <c:pt idx="2">
                  <c:v>427942</c:v>
                </c:pt>
                <c:pt idx="3">
                  <c:v>409158</c:v>
                </c:pt>
              </c:numCache>
            </c:numRef>
          </c:val>
        </c:ser>
        <c:dLbls>
          <c:dLblPos val="outEnd"/>
          <c:showLegendKey val="0"/>
          <c:showVal val="1"/>
          <c:showCatName val="0"/>
          <c:showSerName val="0"/>
          <c:showPercent val="0"/>
          <c:showBubbleSize val="0"/>
        </c:dLbls>
        <c:gapWidth val="100"/>
        <c:overlap val="-24"/>
        <c:axId val="-504746480"/>
        <c:axId val="-504741040"/>
      </c:barChart>
      <c:catAx>
        <c:axId val="-50474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4741040"/>
        <c:crosses val="autoZero"/>
        <c:auto val="1"/>
        <c:lblAlgn val="ctr"/>
        <c:lblOffset val="100"/>
        <c:noMultiLvlLbl val="0"/>
      </c:catAx>
      <c:valAx>
        <c:axId val="-50474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4746480"/>
        <c:crosses val="autoZero"/>
        <c:crossBetween val="between"/>
        <c:dispUnits>
          <c:builtInUnit val="thousands"/>
          <c:dispUnitsLbl>
            <c:layout>
              <c:manualLayout>
                <c:xMode val="edge"/>
                <c:yMode val="edge"/>
                <c:x val="1.7514871167625897E-2"/>
                <c:y val="0.37367855865310656"/>
              </c:manualLayout>
            </c:layout>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[Yotube_Analysis_Project.xlsx]Watch Time by Time Period!PivotTable3</c:name>
    <c:fmtId val="3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1">
                <a:solidFill>
                  <a:schemeClr val="tx1"/>
                </a:solidFill>
              </a:rPr>
              <a:t>Watch Time (Hours) by Time Period</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0070C0"/>
          </a:solidFill>
          <a:ln w="9525" cap="flat" cmpd="sng" algn="ctr">
            <a:solidFill>
              <a:schemeClr val="accent1">
                <a:shade val="95000"/>
              </a:schemeClr>
            </a:solidFill>
            <a:round/>
          </a:ln>
          <a:effectLst/>
        </c:spPr>
      </c:pivotFmt>
    </c:pivotFmts>
    <c:plotArea>
      <c:layout/>
      <c:barChart>
        <c:barDir val="col"/>
        <c:grouping val="clustered"/>
        <c:varyColors val="0"/>
        <c:ser>
          <c:idx val="0"/>
          <c:order val="0"/>
          <c:tx>
            <c:strRef>
              <c:f>'Watch Time by Time Period'!$B$3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2"/>
            <c:invertIfNegative val="0"/>
            <c:bubble3D val="0"/>
            <c:spPr>
              <a:solidFill>
                <a:srgbClr val="0070C0"/>
              </a:solidFill>
              <a:ln w="9525" cap="flat" cmpd="sng" algn="ctr">
                <a:solidFill>
                  <a:schemeClr val="accent1">
                    <a:shade val="95000"/>
                  </a:schemeClr>
                </a:solidFill>
                <a:round/>
              </a:ln>
              <a:effectLst/>
            </c:spPr>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'Watch Time by Time Period'!$A$4:$A$8</c:f>
              <c:strCache>
                <c:ptCount val="4"/>
                <c:pt idx="0">
                  <c:v>Last 28 Days</c:v>
                </c:pt>
                <c:pt idx="1">
                  <c:v>Last 90 Days</c:v>
                </c:pt>
                <c:pt idx="2">
                  <c:v>Last 365 Days</c:v>
                </c:pt>
                <c:pt idx="3">
                  <c:v>Older</c:v>
                </c:pt>
              </c:strCache>
            </c:strRef>
          </c:cat>
          <c:val>
            <c:numRef>
              <c:f>'Watch Time by Time Period'!$B$4:$B$8</c:f>
              <c:numCache>
                <c:formatCode>General</c:formatCode>
                <c:ptCount val="4"/>
                <c:pt idx="0">
                  <c:v>3.2650999999999999</c:v>
                </c:pt>
                <c:pt idx="1">
                  <c:v>674.96029999999996</c:v>
                </c:pt>
                <c:pt idx="2">
                  <c:v>4722.9914000000044</c:v>
                </c:pt>
                <c:pt idx="3">
                  <c:v>3425.5701000000004</c:v>
                </c:pt>
              </c:numCache>
            </c:numRef>
          </c:val>
        </c:ser>
        <c:dLbls>
          <c:dLblPos val="outEnd"/>
          <c:showLegendKey val="0"/>
          <c:showVal val="1"/>
          <c:showCatName val="0"/>
          <c:showSerName val="0"/>
          <c:showPercent val="0"/>
          <c:showBubbleSize val="0"/>
        </c:dLbls>
        <c:gapWidth val="100"/>
        <c:overlap val="-24"/>
        <c:axId val="-504750288"/>
        <c:axId val="-504739408"/>
      </c:barChart>
      <c:catAx>
        <c:axId val="-50475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4739408"/>
        <c:crosses val="autoZero"/>
        <c:auto val="1"/>
        <c:lblAlgn val="ctr"/>
        <c:lblOffset val="100"/>
        <c:noMultiLvlLbl val="0"/>
      </c:catAx>
      <c:valAx>
        <c:axId val="-504739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4750288"/>
        <c:crosses val="autoZero"/>
        <c:crossBetween val="between"/>
      </c:valAx>
      <c:spPr>
        <a:noFill/>
        <a:ln>
          <a:noFill/>
        </a:ln>
        <a:effectLst/>
      </c:spPr>
    </c:plotArea>
    <c:plotVisOnly val="1"/>
    <c:dispBlanksAs val="gap"/>
    <c:showDLblsOverMax val="0"/>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[Yotube_Analysis_Project.xlsx]Revenue by Time Period!PivotTable3</c:name>
    <c:fmtId val="3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1">
                <a:solidFill>
                  <a:schemeClr val="tx1"/>
                </a:solidFill>
              </a:rPr>
              <a:t>Estimated Revenue (INR) by Time Period</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0070C0"/>
          </a:solidFill>
          <a:ln w="9525" cap="flat" cmpd="sng" algn="ctr">
            <a:solidFill>
              <a:schemeClr val="accent1">
                <a:shade val="95000"/>
              </a:schemeClr>
            </a:solidFill>
            <a:round/>
          </a:ln>
          <a:effectLst/>
        </c:spPr>
      </c:pivotFmt>
    </c:pivotFmts>
    <c:plotArea>
      <c:layout/>
      <c:barChart>
        <c:barDir val="col"/>
        <c:grouping val="clustered"/>
        <c:varyColors val="0"/>
        <c:ser>
          <c:idx val="0"/>
          <c:order val="0"/>
          <c:tx>
            <c:strRef>
              <c:f>'Revenue by Time Period'!$B$3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2"/>
            <c:invertIfNegative val="0"/>
            <c:bubble3D val="0"/>
            <c:spPr>
              <a:solidFill>
                <a:srgbClr val="0070C0"/>
              </a:solidFill>
              <a:ln w="9525" cap="flat" cmpd="sng" algn="ctr">
                <a:solidFill>
                  <a:schemeClr val="accent1">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'Revenue by Time Period'!$A$4:$A$8</c:f>
              <c:strCache>
                <c:ptCount val="4"/>
                <c:pt idx="0">
                  <c:v>Last 28 Days</c:v>
                </c:pt>
                <c:pt idx="1">
                  <c:v>Last 90 Days</c:v>
                </c:pt>
                <c:pt idx="2">
                  <c:v>Last 365 Days</c:v>
                </c:pt>
                <c:pt idx="3">
                  <c:v>Older</c:v>
                </c:pt>
              </c:strCache>
            </c:strRef>
          </c:cat>
          <c:val>
            <c:numRef>
              <c:f>'Revenue by Time Period'!$B$4:$B$8</c:f>
              <c:numCache>
                <c:formatCode>General</c:formatCode>
                <c:ptCount val="4"/>
                <c:pt idx="0">
                  <c:v>2</c:v>
                </c:pt>
                <c:pt idx="1">
                  <c:v>77</c:v>
                </c:pt>
                <c:pt idx="2">
                  <c:v>246</c:v>
                </c:pt>
                <c:pt idx="3">
                  <c:v>172</c:v>
                </c:pt>
              </c:numCache>
            </c:numRef>
          </c:val>
        </c:ser>
        <c:dLbls>
          <c:dLblPos val="outEnd"/>
          <c:showLegendKey val="0"/>
          <c:showVal val="1"/>
          <c:showCatName val="0"/>
          <c:showSerName val="0"/>
          <c:showPercent val="0"/>
          <c:showBubbleSize val="0"/>
        </c:dLbls>
        <c:gapWidth val="100"/>
        <c:overlap val="-24"/>
        <c:axId val="-504743216"/>
        <c:axId val="-504740496"/>
      </c:barChart>
      <c:catAx>
        <c:axId val="-50474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4740496"/>
        <c:crosses val="autoZero"/>
        <c:auto val="1"/>
        <c:lblAlgn val="ctr"/>
        <c:lblOffset val="100"/>
        <c:noMultiLvlLbl val="0"/>
      </c:catAx>
      <c:valAx>
        <c:axId val="-504740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4743216"/>
        <c:crosses val="autoZero"/>
        <c:crossBetween val="between"/>
      </c:valAx>
      <c:spPr>
        <a:noFill/>
        <a:ln>
          <a:noFill/>
        </a:ln>
        <a:effectLst/>
      </c:spPr>
    </c:plotArea>
    <c:plotVisOnly val="1"/>
    <c:dispBlanksAs val="gap"/>
    <c:showDLblsOverMax val="0"/>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[Yotube_Analysis_Project.xlsx]Audience Distribution by Age!PivotTable4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solidFill>
              </a:rPr>
              <a:t>Audience Distribution by Age (%)</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0070C0"/>
          </a:solidFill>
          <a:ln>
            <a:noFill/>
          </a:ln>
          <a:effectLst/>
        </c:spPr>
      </c:pivotFmt>
    </c:pivotFmts>
    <c:plotArea>
      <c:layout/>
      <c:barChart>
        <c:barDir val="bar"/>
        <c:grouping val="clustered"/>
        <c:varyColors val="0"/>
        <c:ser>
          <c:idx val="0"/>
          <c:order val="0"/>
          <c:tx>
            <c:strRef>
              <c:f>'Audience Distribution by Age'!$B$3</c:f>
              <c:strCache>
                <c:ptCount val="1"/>
                <c:pt idx="0">
                  <c:v>Total</c:v>
                </c:pt>
              </c:strCache>
            </c:strRef>
          </c:tx>
          <c:spPr>
            <a:solidFill>
              <a:schemeClr val="accent1"/>
            </a:solidFill>
            <a:ln>
              <a:noFill/>
            </a:ln>
            <a:effectLst/>
          </c:spPr>
          <c:invertIfNegative val="0"/>
          <c:dPt>
            <c:idx val="4"/>
            <c:invertIfNegative val="0"/>
            <c:bubble3D val="0"/>
            <c:spPr>
              <a:solidFill>
                <a:srgbClr val="0070C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'Audience Distribution by Age'!$A$4:$A$11</c:f>
              <c:strCache>
                <c:ptCount val="7"/>
                <c:pt idx="0">
                  <c:v>65+ years</c:v>
                </c:pt>
                <c:pt idx="1">
                  <c:v>55 to 64 years</c:v>
                </c:pt>
                <c:pt idx="2">
                  <c:v>45 to 54 years</c:v>
                </c:pt>
                <c:pt idx="3">
                  <c:v>35 to 44 years</c:v>
                </c:pt>
                <c:pt idx="4">
                  <c:v>25 to 34 years</c:v>
                </c:pt>
                <c:pt idx="5">
                  <c:v>18 to 24 years</c:v>
                </c:pt>
                <c:pt idx="6">
                  <c:v>13 to 17 years</c:v>
                </c:pt>
              </c:strCache>
            </c:strRef>
          </c:cat>
          <c:val>
            <c:numRef>
              <c:f>'Audience Distribution by Age'!$B$4:$B$11</c:f>
              <c:numCache>
                <c:formatCode>0.00%</c:formatCode>
                <c:ptCount val="7"/>
                <c:pt idx="0">
                  <c:v>2.92E-2</c:v>
                </c:pt>
                <c:pt idx="1">
                  <c:v>7.5399999999999995E-2</c:v>
                </c:pt>
                <c:pt idx="2">
                  <c:v>0.14300000000000002</c:v>
                </c:pt>
                <c:pt idx="3">
                  <c:v>0.28499999999999998</c:v>
                </c:pt>
                <c:pt idx="4">
                  <c:v>0.3503</c:v>
                </c:pt>
                <c:pt idx="5">
                  <c:v>0.11170000000000001</c:v>
                </c:pt>
                <c:pt idx="6">
                  <c:v>5.4000000000000003E-3</c:v>
                </c:pt>
              </c:numCache>
            </c:numRef>
          </c:val>
        </c:ser>
        <c:dLbls>
          <c:dLblPos val="outEnd"/>
          <c:showLegendKey val="0"/>
          <c:showVal val="1"/>
          <c:showCatName val="0"/>
          <c:showSerName val="0"/>
          <c:showPercent val="0"/>
          <c:showBubbleSize val="0"/>
        </c:dLbls>
        <c:gapWidth val="182"/>
        <c:axId val="-504749744"/>
        <c:axId val="-504738320"/>
      </c:barChart>
      <c:catAx>
        <c:axId val="-504749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38320"/>
        <c:crosses val="autoZero"/>
        <c:auto val="1"/>
        <c:lblAlgn val="ctr"/>
        <c:lblOffset val="100"/>
        <c:noMultiLvlLbl val="0"/>
      </c:catAx>
      <c:valAx>
        <c:axId val="-504738320"/>
        <c:scaling>
          <c:orientation val="minMax"/>
        </c:scaling>
        <c:delete val="0"/>
        <c:axPos val="b"/>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49744"/>
        <c:crosses val="autoZero"/>
        <c:crossBetween val="between"/>
      </c:valAx>
      <c:spPr>
        <a:noFill/>
        <a:ln w="25400">
          <a:noFill/>
        </a:ln>
        <a:effectLst/>
      </c:spPr>
    </c:plotArea>
    <c:plotVisOnly val="1"/>
    <c:dispBlanksAs val="gap"/>
    <c:showDLblsOverMax val="0"/>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[Yotube_Analysis_Project.xlsx]Monthly Trend Chat!PivotTable1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Monthly Views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3492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34925" cap="rnd">
            <a:solidFill>
              <a:srgbClr val="0070C0"/>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'Monthly Trend Chat'!$B$3</c:f>
              <c:strCache>
                <c:ptCount val="1"/>
                <c:pt idx="0">
                  <c:v>Total</c:v>
                </c:pt>
              </c:strCache>
            </c:strRef>
          </c:tx>
          <c:spPr>
            <a:ln w="34925" cap="rnd">
              <a:solidFill>
                <a:schemeClr val="accent1"/>
              </a:solidFill>
              <a:round/>
            </a:ln>
            <a:effectLst/>
          </c:spPr>
          <c:marker>
            <c:symbol val="circle"/>
            <c:size val="5"/>
            <c:spPr>
              <a:solidFill>
                <a:schemeClr val="accent1"/>
              </a:solidFill>
              <a:ln w="9525">
                <a:solidFill>
                  <a:schemeClr val="accent1"/>
                </a:solidFill>
              </a:ln>
              <a:effectLst/>
            </c:spPr>
          </c:marker>
          <c:dPt>
            <c:idx val="44"/>
            <c:marker>
              <c:symbol val="circle"/>
              <c:size val="5"/>
              <c:spPr>
                <a:solidFill>
                  <a:schemeClr val="accent1"/>
                </a:solidFill>
                <a:ln w="9525">
                  <a:solidFill>
                    <a:schemeClr val="accent1"/>
                  </a:solidFill>
                </a:ln>
                <a:effectLst/>
              </c:spPr>
            </c:marker>
            <c:bubble3D val="0"/>
            <c:spPr>
              <a:ln w="34925" cap="rnd">
                <a:solidFill>
                  <a:srgbClr val="0070C0"/>
                </a:solidFill>
                <a:round/>
              </a:ln>
              <a:effectLst/>
            </c:spPr>
          </c:dPt>
          <c:cat>
            <c:strRef>
              <c:f>'Monthly Trend Chat'!$A$4:$A$51</c:f>
              <c:strCache>
                <c:ptCount val="47"/>
                <c:pt idx="0">
                  <c:v>Nov 2019</c:v>
                </c:pt>
                <c:pt idx="1">
                  <c:v>Dec 2019</c:v>
                </c:pt>
                <c:pt idx="2">
                  <c:v>Jan 2020</c:v>
                </c:pt>
                <c:pt idx="3">
                  <c:v>Feb 2020</c:v>
                </c:pt>
                <c:pt idx="4">
                  <c:v>Mar 2022</c:v>
                </c:pt>
                <c:pt idx="5">
                  <c:v>May 2022</c:v>
                </c:pt>
                <c:pt idx="6">
                  <c:v>Jul 2022</c:v>
                </c:pt>
                <c:pt idx="7">
                  <c:v>Aug 2022</c:v>
                </c:pt>
                <c:pt idx="8">
                  <c:v>Sep 2022</c:v>
                </c:pt>
                <c:pt idx="9">
                  <c:v>Nov 2022</c:v>
                </c:pt>
                <c:pt idx="10">
                  <c:v>Dec 2022</c:v>
                </c:pt>
                <c:pt idx="11">
                  <c:v>Jan 2023</c:v>
                </c:pt>
                <c:pt idx="12">
                  <c:v>Feb 2023</c:v>
                </c:pt>
                <c:pt idx="13">
                  <c:v>Mar 2023</c:v>
                </c:pt>
                <c:pt idx="14">
                  <c:v>Apr 2023</c:v>
                </c:pt>
                <c:pt idx="15">
                  <c:v>Jun 2023</c:v>
                </c:pt>
                <c:pt idx="16">
                  <c:v>Jul 2023</c:v>
                </c:pt>
                <c:pt idx="17">
                  <c:v>Aug 2023</c:v>
                </c:pt>
                <c:pt idx="18">
                  <c:v>Sep 2023</c:v>
                </c:pt>
                <c:pt idx="19">
                  <c:v>Oct 2023</c:v>
                </c:pt>
                <c:pt idx="20">
                  <c:v>Nov 2023</c:v>
                </c:pt>
                <c:pt idx="21">
                  <c:v>Dec 2023</c:v>
                </c:pt>
                <c:pt idx="22">
                  <c:v>Jan 2024</c:v>
                </c:pt>
                <c:pt idx="23">
                  <c:v>Feb 2024</c:v>
                </c:pt>
                <c:pt idx="24">
                  <c:v>Mar 2024</c:v>
                </c:pt>
                <c:pt idx="25">
                  <c:v>Apr 2024</c:v>
                </c:pt>
                <c:pt idx="26">
                  <c:v>May 2024</c:v>
                </c:pt>
                <c:pt idx="27">
                  <c:v>Jun 2024</c:v>
                </c:pt>
                <c:pt idx="28">
                  <c:v>Jul 2024</c:v>
                </c:pt>
                <c:pt idx="29">
                  <c:v>Aug 2024</c:v>
                </c:pt>
                <c:pt idx="30">
                  <c:v>Sep 2024</c:v>
                </c:pt>
                <c:pt idx="31">
                  <c:v>Oct 2024</c:v>
                </c:pt>
                <c:pt idx="32">
                  <c:v>Nov 2024</c:v>
                </c:pt>
                <c:pt idx="33">
                  <c:v>Dec 2024</c:v>
                </c:pt>
                <c:pt idx="34">
                  <c:v>Jan 2025</c:v>
                </c:pt>
                <c:pt idx="35">
                  <c:v>Feb 2025</c:v>
                </c:pt>
                <c:pt idx="36">
                  <c:v>Mar 2025</c:v>
                </c:pt>
                <c:pt idx="37">
                  <c:v>Apr 2025</c:v>
                </c:pt>
                <c:pt idx="38">
                  <c:v>May 2025</c:v>
                </c:pt>
                <c:pt idx="39">
                  <c:v>Jun 2025</c:v>
                </c:pt>
                <c:pt idx="40">
                  <c:v>Jul 2025</c:v>
                </c:pt>
                <c:pt idx="41">
                  <c:v>Aug 2025</c:v>
                </c:pt>
                <c:pt idx="42">
                  <c:v>Sep 2025</c:v>
                </c:pt>
                <c:pt idx="43">
                  <c:v>Oct 2025</c:v>
                </c:pt>
                <c:pt idx="44">
                  <c:v>Nov 2025</c:v>
                </c:pt>
                <c:pt idx="45">
                  <c:v>Dec 2025</c:v>
                </c:pt>
                <c:pt idx="46">
                  <c:v>Jan 2026</c:v>
                </c:pt>
              </c:strCache>
            </c:strRef>
          </c:cat>
          <c:val>
            <c:numRef>
              <c:f>'Monthly Trend Chat'!$B$4:$B$51</c:f>
              <c:numCache>
                <c:formatCode>General</c:formatCode>
                <c:ptCount val="47"/>
                <c:pt idx="0">
                  <c:v>1249</c:v>
                </c:pt>
                <c:pt idx="1">
                  <c:v>3156</c:v>
                </c:pt>
                <c:pt idx="2">
                  <c:v>1764</c:v>
                </c:pt>
                <c:pt idx="3">
                  <c:v>1895</c:v>
                </c:pt>
                <c:pt idx="4">
                  <c:v>1719</c:v>
                </c:pt>
                <c:pt idx="5">
                  <c:v>715</c:v>
                </c:pt>
                <c:pt idx="6">
                  <c:v>688</c:v>
                </c:pt>
                <c:pt idx="7">
                  <c:v>1697</c:v>
                </c:pt>
                <c:pt idx="8">
                  <c:v>1275</c:v>
                </c:pt>
                <c:pt idx="9">
                  <c:v>4282</c:v>
                </c:pt>
                <c:pt idx="10">
                  <c:v>1826</c:v>
                </c:pt>
                <c:pt idx="11">
                  <c:v>758</c:v>
                </c:pt>
                <c:pt idx="12">
                  <c:v>3455</c:v>
                </c:pt>
                <c:pt idx="13">
                  <c:v>4585</c:v>
                </c:pt>
                <c:pt idx="14">
                  <c:v>5696</c:v>
                </c:pt>
                <c:pt idx="15">
                  <c:v>2411</c:v>
                </c:pt>
                <c:pt idx="16">
                  <c:v>13773</c:v>
                </c:pt>
                <c:pt idx="17">
                  <c:v>62939</c:v>
                </c:pt>
                <c:pt idx="18">
                  <c:v>6862</c:v>
                </c:pt>
                <c:pt idx="19">
                  <c:v>11680</c:v>
                </c:pt>
                <c:pt idx="20">
                  <c:v>4652</c:v>
                </c:pt>
                <c:pt idx="21">
                  <c:v>14974</c:v>
                </c:pt>
                <c:pt idx="22">
                  <c:v>685</c:v>
                </c:pt>
                <c:pt idx="23">
                  <c:v>1168</c:v>
                </c:pt>
                <c:pt idx="24">
                  <c:v>4782</c:v>
                </c:pt>
                <c:pt idx="25">
                  <c:v>657</c:v>
                </c:pt>
                <c:pt idx="26">
                  <c:v>2336</c:v>
                </c:pt>
                <c:pt idx="27">
                  <c:v>2362</c:v>
                </c:pt>
                <c:pt idx="28">
                  <c:v>1328</c:v>
                </c:pt>
                <c:pt idx="29">
                  <c:v>81556</c:v>
                </c:pt>
                <c:pt idx="30">
                  <c:v>3984</c:v>
                </c:pt>
                <c:pt idx="31">
                  <c:v>4421</c:v>
                </c:pt>
                <c:pt idx="32">
                  <c:v>20466</c:v>
                </c:pt>
                <c:pt idx="33">
                  <c:v>16539</c:v>
                </c:pt>
                <c:pt idx="34">
                  <c:v>34123</c:v>
                </c:pt>
                <c:pt idx="35">
                  <c:v>94666</c:v>
                </c:pt>
                <c:pt idx="36">
                  <c:v>59023</c:v>
                </c:pt>
                <c:pt idx="37">
                  <c:v>23460</c:v>
                </c:pt>
                <c:pt idx="38">
                  <c:v>29796</c:v>
                </c:pt>
                <c:pt idx="39">
                  <c:v>31559</c:v>
                </c:pt>
                <c:pt idx="40">
                  <c:v>38287</c:v>
                </c:pt>
                <c:pt idx="41">
                  <c:v>35305</c:v>
                </c:pt>
                <c:pt idx="42">
                  <c:v>22807</c:v>
                </c:pt>
                <c:pt idx="43">
                  <c:v>38843</c:v>
                </c:pt>
                <c:pt idx="44">
                  <c:v>151353</c:v>
                </c:pt>
                <c:pt idx="45">
                  <c:v>88991</c:v>
                </c:pt>
                <c:pt idx="46">
                  <c:v>27888</c:v>
                </c:pt>
              </c:numCache>
            </c:numRef>
          </c:val>
          <c:smooth val="0"/>
        </c:ser>
        <c:dLbls>
          <c:showLegendKey val="0"/>
          <c:showVal val="0"/>
          <c:showCatName val="0"/>
          <c:showSerName val="0"/>
          <c:showPercent val="0"/>
          <c:showBubbleSize val="0"/>
        </c:dLbls>
        <c:marker val="1"/>
        <c:smooth val="0"/>
        <c:axId val="-504737776"/>
        <c:axId val="-504739952"/>
      </c:lineChart>
      <c:dateAx>
        <c:axId val="-504737776"/>
        <c:scaling>
          <c:orientation val="minMax"/>
        </c:scaling>
        <c:delete val="0"/>
        <c:axPos val="b"/>
        <c:numFmt formatCode="General" sourceLinked="1"/>
        <c:majorTickMark val="out"/>
        <c:minorTickMark val="none"/>
        <c:tickLblPos val="low"/>
        <c:spPr>
          <a:noFill/>
          <a:ln w="1587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39952"/>
        <c:crosses val="autoZero"/>
        <c:auto val="0"/>
        <c:lblOffset val="100"/>
        <c:baseTimeUnit val="days"/>
        <c:majorUnit val="5"/>
      </c:dateAx>
      <c:valAx>
        <c:axId val="-5047399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377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[Yotube_Analysis_Project.xlsx]Top 5 Videos!PivotTable3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Top 5 Videos by Views</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0070C0"/>
          </a:solidFill>
          <a:ln>
            <a:noFill/>
          </a:ln>
          <a:effectLst/>
        </c:spPr>
      </c:pivotFmt>
    </c:pivotFmts>
    <c:plotArea>
      <c:layout/>
      <c:barChart>
        <c:barDir val="bar"/>
        <c:grouping val="clustered"/>
        <c:varyColors val="0"/>
        <c:ser>
          <c:idx val="0"/>
          <c:order val="0"/>
          <c:tx>
            <c:strRef>
              <c:f>'Top 5 Videos'!$B$3</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Videos'!$A$4:$A$9</c:f>
              <c:strCache>
                <c:ptCount val="5"/>
                <c:pt idx="0">
                  <c:v>Metro Pride Thakurli | 1 &amp; 2BHK Flats Re</c:v>
                </c:pt>
                <c:pt idx="1">
                  <c:v>1BHK in Dombivli For Urgent Sale..! | Be</c:v>
                </c:pt>
                <c:pt idx="2">
                  <c:v>2 Bhk Flat In Kalyan For Sale | 2 Bhk Fl</c:v>
                </c:pt>
                <c:pt idx="3">
                  <c:v>7021988393 | Ready &amp; Affordable 1 &amp; 2 B</c:v>
                </c:pt>
                <c:pt idx="4">
                  <c:v>Call 7021988393 | Kohinoor Gardens Shaha</c:v>
                </c:pt>
              </c:strCache>
            </c:strRef>
          </c:cat>
          <c:val>
            <c:numRef>
              <c:f>'Top 5 Videos'!$B$4:$B$9</c:f>
              <c:numCache>
                <c:formatCode>General</c:formatCode>
                <c:ptCount val="5"/>
                <c:pt idx="0">
                  <c:v>77801</c:v>
                </c:pt>
                <c:pt idx="1">
                  <c:v>59152</c:v>
                </c:pt>
                <c:pt idx="2">
                  <c:v>43867</c:v>
                </c:pt>
                <c:pt idx="3">
                  <c:v>33514</c:v>
                </c:pt>
                <c:pt idx="4">
                  <c:v>32880</c:v>
                </c:pt>
              </c:numCache>
            </c:numRef>
          </c:val>
        </c:ser>
        <c:dLbls>
          <c:dLblPos val="outEnd"/>
          <c:showLegendKey val="0"/>
          <c:showVal val="1"/>
          <c:showCatName val="0"/>
          <c:showSerName val="0"/>
          <c:showPercent val="0"/>
          <c:showBubbleSize val="0"/>
        </c:dLbls>
        <c:gapWidth val="50"/>
        <c:axId val="-504748112"/>
        <c:axId val="-504749200"/>
      </c:barChart>
      <c:catAx>
        <c:axId val="-504748112"/>
        <c:scaling>
          <c:orientation val="maxMin"/>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49200"/>
        <c:crosses val="autoZero"/>
        <c:auto val="1"/>
        <c:lblAlgn val="ctr"/>
        <c:lblOffset val="100"/>
        <c:noMultiLvlLbl val="0"/>
      </c:catAx>
      <c:valAx>
        <c:axId val="-504749200"/>
        <c:scaling>
          <c:orientation val="minMax"/>
        </c:scaling>
        <c:delete val="0"/>
        <c:axPos val="t"/>
        <c:numFmt formatCode="#,##0,&quot;K&quot;" sourceLinked="0"/>
        <c:majorTickMark val="none"/>
        <c:minorTickMark val="none"/>
        <c:tickLblPos val="high"/>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4811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[Yotube_Analysis_Project.xlsx]Revenue Contribution by Time!PivotTable4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Revenue Contribution by Time Period (%)</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lumMod val="60000"/>
              <a:lumOff val="40000"/>
            </a:schemeClr>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pivotFmt>
      <c:pivotFmt>
        <c:idx val="8"/>
        <c:spPr>
          <a:solidFill>
            <a:schemeClr val="accent1">
              <a:lumMod val="75000"/>
            </a:schemeClr>
          </a:solidFill>
          <a:ln w="19050">
            <a:noFill/>
          </a:ln>
          <a:effectLst/>
        </c:spPr>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
        <c:idx val="12"/>
        <c:spPr>
          <a:solidFill>
            <a:schemeClr val="accent1">
              <a:lumMod val="40000"/>
              <a:lumOff val="60000"/>
            </a:schemeClr>
          </a:solidFill>
          <a:ln w="19050">
            <a:solidFill>
              <a:schemeClr val="lt1"/>
            </a:solidFill>
          </a:ln>
          <a:effectLst/>
        </c:spPr>
      </c:pivotFmt>
      <c:pivotFmt>
        <c:idx val="13"/>
        <c:spPr>
          <a:solidFill>
            <a:schemeClr val="accent1">
              <a:lumMod val="75000"/>
            </a:schemeClr>
          </a:solidFill>
          <a:ln w="19050">
            <a:noFill/>
          </a:ln>
          <a:effectLst/>
        </c:spPr>
      </c:pivotFmt>
    </c:pivotFmts>
    <c:plotArea>
      <c:layout/>
      <c:pieChart>
        <c:varyColors val="1"/>
        <c:ser>
          <c:idx val="0"/>
          <c:order val="0"/>
          <c:tx>
            <c:strRef>
              <c:f>'Revenue Contribution by Time'!$B$3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1">
                  <a:lumMod val="60000"/>
                  <a:lumOff val="40000"/>
                </a:schemeClr>
              </a:solidFill>
              <a:ln w="19050">
                <a:solidFill>
                  <a:schemeClr val="lt1"/>
                </a:solidFill>
              </a:ln>
              <a:effectLst/>
            </c:spPr>
          </c:dPt>
          <c:dPt>
            <c:idx val="2"/>
            <c:bubble3D val="0"/>
            <c:spPr>
              <a:solidFill>
                <a:schemeClr val="accent1">
                  <a:lumMod val="40000"/>
                  <a:lumOff val="60000"/>
                </a:schemeClr>
              </a:solidFill>
              <a:ln w="19050">
                <a:solidFill>
                  <a:schemeClr val="lt1"/>
                </a:solidFill>
              </a:ln>
              <a:effectLst/>
            </c:spPr>
          </c:dPt>
          <c:dPt>
            <c:idx val="3"/>
            <c:bubble3D val="0"/>
            <c:spPr>
              <a:solidFill>
                <a:schemeClr val="accent1">
                  <a:lumMod val="75000"/>
                </a:schemeClr>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'Revenue Contribution by Time'!$A$4:$A$8</c:f>
              <c:strCache>
                <c:ptCount val="4"/>
                <c:pt idx="0">
                  <c:v>Last 28 Days</c:v>
                </c:pt>
                <c:pt idx="1">
                  <c:v>Last 365 Days</c:v>
                </c:pt>
                <c:pt idx="2">
                  <c:v>Last 90 Days</c:v>
                </c:pt>
                <c:pt idx="3">
                  <c:v>Older</c:v>
                </c:pt>
              </c:strCache>
            </c:strRef>
          </c:cat>
          <c:val>
            <c:numRef>
              <c:f>'Revenue Contribution by Time'!$B$4:$B$8</c:f>
              <c:numCache>
                <c:formatCode>General</c:formatCode>
                <c:ptCount val="4"/>
                <c:pt idx="0">
                  <c:v>0.46</c:v>
                </c:pt>
                <c:pt idx="1">
                  <c:v>2498.0910000000008</c:v>
                </c:pt>
                <c:pt idx="2">
                  <c:v>208.27899999999991</c:v>
                </c:pt>
                <c:pt idx="3">
                  <c:v>6348.8910000000005</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[Yotube_Analysis_Project.xlsx]Monthly Subscribers Growth!PivotTable5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Monthly Subscribers Growth</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rgbClr val="0070C0"/>
            </a:solidFill>
            <a:round/>
          </a:ln>
          <a:effectLst/>
        </c:spPr>
      </c:pivotFmt>
      <c:pivotFmt>
        <c:idx val="2"/>
        <c:spPr>
          <a:solidFill>
            <a:schemeClr val="accent1"/>
          </a:solidFill>
          <a:ln w="28575" cap="rnd">
            <a:solidFill>
              <a:srgbClr val="0070C0"/>
            </a:solidFill>
            <a:round/>
          </a:ln>
          <a:effectLst/>
        </c:spPr>
      </c:pivotFmt>
      <c:pivotFmt>
        <c:idx val="3"/>
        <c:spPr>
          <a:solidFill>
            <a:schemeClr val="accent1"/>
          </a:solidFill>
          <a:ln w="28575" cap="rnd">
            <a:solidFill>
              <a:srgbClr val="0070C0"/>
            </a:solidFill>
            <a:round/>
          </a:ln>
          <a:effectLst/>
        </c:spPr>
        <c:marker>
          <c:symbol val="none"/>
        </c:marker>
      </c:pivotFmt>
      <c:pivotFmt>
        <c:idx val="4"/>
        <c:spPr>
          <a:solidFill>
            <a:schemeClr val="accent1"/>
          </a:solidFill>
          <a:ln w="28575" cap="rnd">
            <a:solidFill>
              <a:srgbClr val="0070C0"/>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rgbClr val="0070C0"/>
            </a:solidFill>
            <a:round/>
          </a:ln>
          <a:effectLst/>
        </c:spPr>
        <c:marker>
          <c:symbol val="none"/>
        </c:marker>
      </c:pivotFmt>
      <c:pivotFmt>
        <c:idx val="7"/>
        <c:spPr>
          <a:solidFill>
            <a:schemeClr val="accent1"/>
          </a:solidFill>
          <a:ln w="28575" cap="rnd">
            <a:solidFill>
              <a:srgbClr val="0070C0"/>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rgbClr val="0070C0"/>
            </a:solidFill>
            <a:round/>
          </a:ln>
          <a:effectLst/>
        </c:spPr>
        <c:marker>
          <c:symbol val="none"/>
        </c:marker>
      </c:pivotFmt>
      <c:pivotFmt>
        <c:idx val="10"/>
        <c:spPr>
          <a:ln w="28575" cap="rnd">
            <a:solidFill>
              <a:srgbClr val="0070C0"/>
            </a:solidFill>
            <a:round/>
          </a:ln>
          <a:effectLst/>
        </c:spPr>
        <c:marker>
          <c:symbol val="none"/>
        </c:marker>
      </c:pivotFmt>
    </c:pivotFmts>
    <c:plotArea>
      <c:layout/>
      <c:lineChart>
        <c:grouping val="standard"/>
        <c:varyColors val="0"/>
        <c:ser>
          <c:idx val="0"/>
          <c:order val="0"/>
          <c:tx>
            <c:strRef>
              <c:f>'Monthly Subscribers Growth'!$B$3</c:f>
              <c:strCache>
                <c:ptCount val="1"/>
                <c:pt idx="0">
                  <c:v>Total</c:v>
                </c:pt>
              </c:strCache>
            </c:strRef>
          </c:tx>
          <c:spPr>
            <a:ln w="28575" cap="rnd">
              <a:solidFill>
                <a:schemeClr val="accent1"/>
              </a:solidFill>
              <a:round/>
            </a:ln>
            <a:effectLst/>
          </c:spPr>
          <c:marker>
            <c:symbol val="none"/>
          </c:marker>
          <c:dPt>
            <c:idx val="35"/>
            <c:marker>
              <c:symbol val="none"/>
            </c:marker>
            <c:bubble3D val="0"/>
            <c:spPr>
              <a:ln w="28575" cap="rnd">
                <a:solidFill>
                  <a:srgbClr val="0070C0"/>
                </a:solidFill>
                <a:round/>
              </a:ln>
              <a:effectLst/>
            </c:spPr>
          </c:dPt>
          <c:dPt>
            <c:idx val="36"/>
            <c:marker>
              <c:symbol val="none"/>
            </c:marker>
            <c:bubble3D val="0"/>
            <c:spPr>
              <a:ln w="28575" cap="rnd">
                <a:solidFill>
                  <a:srgbClr val="0070C0"/>
                </a:solidFill>
                <a:round/>
              </a:ln>
              <a:effectLst/>
            </c:spPr>
          </c:dPt>
          <c:cat>
            <c:strRef>
              <c:f>'Monthly Subscribers Growth'!$A$4:$A$51</c:f>
              <c:strCache>
                <c:ptCount val="47"/>
                <c:pt idx="0">
                  <c:v>Nov 2019</c:v>
                </c:pt>
                <c:pt idx="1">
                  <c:v>Dec 2019</c:v>
                </c:pt>
                <c:pt idx="2">
                  <c:v>Jan 2020</c:v>
                </c:pt>
                <c:pt idx="3">
                  <c:v>Feb 2020</c:v>
                </c:pt>
                <c:pt idx="4">
                  <c:v>Mar 2022</c:v>
                </c:pt>
                <c:pt idx="5">
                  <c:v>May 2022</c:v>
                </c:pt>
                <c:pt idx="6">
                  <c:v>Jul 2022</c:v>
                </c:pt>
                <c:pt idx="7">
                  <c:v>Aug 2022</c:v>
                </c:pt>
                <c:pt idx="8">
                  <c:v>Sep 2022</c:v>
                </c:pt>
                <c:pt idx="9">
                  <c:v>Nov 2022</c:v>
                </c:pt>
                <c:pt idx="10">
                  <c:v>Dec 2022</c:v>
                </c:pt>
                <c:pt idx="11">
                  <c:v>Jan 2023</c:v>
                </c:pt>
                <c:pt idx="12">
                  <c:v>Feb 2023</c:v>
                </c:pt>
                <c:pt idx="13">
                  <c:v>Mar 2023</c:v>
                </c:pt>
                <c:pt idx="14">
                  <c:v>Apr 2023</c:v>
                </c:pt>
                <c:pt idx="15">
                  <c:v>Jun 2023</c:v>
                </c:pt>
                <c:pt idx="16">
                  <c:v>Jul 2023</c:v>
                </c:pt>
                <c:pt idx="17">
                  <c:v>Aug 2023</c:v>
                </c:pt>
                <c:pt idx="18">
                  <c:v>Sep 2023</c:v>
                </c:pt>
                <c:pt idx="19">
                  <c:v>Oct 2023</c:v>
                </c:pt>
                <c:pt idx="20">
                  <c:v>Nov 2023</c:v>
                </c:pt>
                <c:pt idx="21">
                  <c:v>Dec 2023</c:v>
                </c:pt>
                <c:pt idx="22">
                  <c:v>Jan 2024</c:v>
                </c:pt>
                <c:pt idx="23">
                  <c:v>Feb 2024</c:v>
                </c:pt>
                <c:pt idx="24">
                  <c:v>Mar 2024</c:v>
                </c:pt>
                <c:pt idx="25">
                  <c:v>Apr 2024</c:v>
                </c:pt>
                <c:pt idx="26">
                  <c:v>May 2024</c:v>
                </c:pt>
                <c:pt idx="27">
                  <c:v>Jun 2024</c:v>
                </c:pt>
                <c:pt idx="28">
                  <c:v>Jul 2024</c:v>
                </c:pt>
                <c:pt idx="29">
                  <c:v>Aug 2024</c:v>
                </c:pt>
                <c:pt idx="30">
                  <c:v>Sep 2024</c:v>
                </c:pt>
                <c:pt idx="31">
                  <c:v>Oct 2024</c:v>
                </c:pt>
                <c:pt idx="32">
                  <c:v>Nov 2024</c:v>
                </c:pt>
                <c:pt idx="33">
                  <c:v>Dec 2024</c:v>
                </c:pt>
                <c:pt idx="34">
                  <c:v>Jan 2025</c:v>
                </c:pt>
                <c:pt idx="35">
                  <c:v>Feb 2025</c:v>
                </c:pt>
                <c:pt idx="36">
                  <c:v>Mar 2025</c:v>
                </c:pt>
                <c:pt idx="37">
                  <c:v>Apr 2025</c:v>
                </c:pt>
                <c:pt idx="38">
                  <c:v>May 2025</c:v>
                </c:pt>
                <c:pt idx="39">
                  <c:v>Jun 2025</c:v>
                </c:pt>
                <c:pt idx="40">
                  <c:v>Jul 2025</c:v>
                </c:pt>
                <c:pt idx="41">
                  <c:v>Aug 2025</c:v>
                </c:pt>
                <c:pt idx="42">
                  <c:v>Sep 2025</c:v>
                </c:pt>
                <c:pt idx="43">
                  <c:v>Oct 2025</c:v>
                </c:pt>
                <c:pt idx="44">
                  <c:v>Nov 2025</c:v>
                </c:pt>
                <c:pt idx="45">
                  <c:v>Dec 2025</c:v>
                </c:pt>
                <c:pt idx="46">
                  <c:v>Jan 2026</c:v>
                </c:pt>
              </c:strCache>
            </c:strRef>
          </c:cat>
          <c:val>
            <c:numRef>
              <c:f>'Monthly Subscribers Growth'!$B$4:$B$51</c:f>
              <c:numCache>
                <c:formatCode>General</c:formatCode>
                <c:ptCount val="47"/>
                <c:pt idx="0">
                  <c:v>1</c:v>
                </c:pt>
                <c:pt idx="1">
                  <c:v>6</c:v>
                </c:pt>
                <c:pt idx="2">
                  <c:v>6</c:v>
                </c:pt>
                <c:pt idx="3">
                  <c:v>8</c:v>
                </c:pt>
                <c:pt idx="4">
                  <c:v>8</c:v>
                </c:pt>
                <c:pt idx="5">
                  <c:v>1</c:v>
                </c:pt>
                <c:pt idx="6">
                  <c:v>1</c:v>
                </c:pt>
                <c:pt idx="7">
                  <c:v>1</c:v>
                </c:pt>
                <c:pt idx="8">
                  <c:v>0</c:v>
                </c:pt>
                <c:pt idx="9">
                  <c:v>4</c:v>
                </c:pt>
                <c:pt idx="10">
                  <c:v>6</c:v>
                </c:pt>
                <c:pt idx="11">
                  <c:v>3</c:v>
                </c:pt>
                <c:pt idx="12">
                  <c:v>2</c:v>
                </c:pt>
                <c:pt idx="13">
                  <c:v>4</c:v>
                </c:pt>
                <c:pt idx="14">
                  <c:v>17</c:v>
                </c:pt>
                <c:pt idx="15">
                  <c:v>7</c:v>
                </c:pt>
                <c:pt idx="16">
                  <c:v>23</c:v>
                </c:pt>
                <c:pt idx="17">
                  <c:v>66</c:v>
                </c:pt>
                <c:pt idx="18">
                  <c:v>6</c:v>
                </c:pt>
                <c:pt idx="19">
                  <c:v>25</c:v>
                </c:pt>
                <c:pt idx="20">
                  <c:v>5</c:v>
                </c:pt>
                <c:pt idx="21">
                  <c:v>32</c:v>
                </c:pt>
                <c:pt idx="22">
                  <c:v>1</c:v>
                </c:pt>
                <c:pt idx="23">
                  <c:v>0</c:v>
                </c:pt>
                <c:pt idx="24">
                  <c:v>5</c:v>
                </c:pt>
                <c:pt idx="25">
                  <c:v>2</c:v>
                </c:pt>
                <c:pt idx="26">
                  <c:v>0</c:v>
                </c:pt>
                <c:pt idx="27">
                  <c:v>3</c:v>
                </c:pt>
                <c:pt idx="28">
                  <c:v>3</c:v>
                </c:pt>
                <c:pt idx="29">
                  <c:v>103</c:v>
                </c:pt>
                <c:pt idx="30">
                  <c:v>12</c:v>
                </c:pt>
                <c:pt idx="31">
                  <c:v>4</c:v>
                </c:pt>
                <c:pt idx="32">
                  <c:v>16</c:v>
                </c:pt>
                <c:pt idx="33">
                  <c:v>25</c:v>
                </c:pt>
                <c:pt idx="34">
                  <c:v>46</c:v>
                </c:pt>
                <c:pt idx="35">
                  <c:v>313</c:v>
                </c:pt>
                <c:pt idx="36">
                  <c:v>709</c:v>
                </c:pt>
                <c:pt idx="37">
                  <c:v>254</c:v>
                </c:pt>
                <c:pt idx="38">
                  <c:v>212</c:v>
                </c:pt>
                <c:pt idx="39">
                  <c:v>68</c:v>
                </c:pt>
                <c:pt idx="40">
                  <c:v>100</c:v>
                </c:pt>
                <c:pt idx="41">
                  <c:v>27</c:v>
                </c:pt>
                <c:pt idx="42">
                  <c:v>24</c:v>
                </c:pt>
                <c:pt idx="43">
                  <c:v>27</c:v>
                </c:pt>
                <c:pt idx="44">
                  <c:v>44</c:v>
                </c:pt>
                <c:pt idx="45">
                  <c:v>39</c:v>
                </c:pt>
                <c:pt idx="46">
                  <c:v>16</c:v>
                </c:pt>
              </c:numCache>
            </c:numRef>
          </c:val>
          <c:smooth val="0"/>
        </c:ser>
        <c:dLbls>
          <c:showLegendKey val="0"/>
          <c:showVal val="0"/>
          <c:showCatName val="0"/>
          <c:showSerName val="0"/>
          <c:showPercent val="0"/>
          <c:showBubbleSize val="0"/>
        </c:dLbls>
        <c:smooth val="0"/>
        <c:axId val="-295918800"/>
        <c:axId val="-295928592"/>
      </c:lineChart>
      <c:catAx>
        <c:axId val="-29591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28592"/>
        <c:crosses val="autoZero"/>
        <c:auto val="1"/>
        <c:lblAlgn val="ctr"/>
        <c:lblOffset val="100"/>
        <c:tickLblSkip val="4"/>
        <c:noMultiLvlLbl val="0"/>
      </c:catAx>
      <c:valAx>
        <c:axId val="-295928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1880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96657</xdr:colOff>
      <xdr:row>2</xdr:row>
      <xdr:rowOff>0</xdr:rowOff>
    </xdr:from>
    <xdr:to>
      <xdr:col>7</xdr:col>
      <xdr:colOff>5381</xdr:colOff>
      <xdr:row>12</xdr:row>
      <xdr:rowOff>5382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96657</xdr:colOff>
      <xdr:row>2</xdr:row>
      <xdr:rowOff>0</xdr:rowOff>
    </xdr:from>
    <xdr:to>
      <xdr:col>7</xdr:col>
      <xdr:colOff>5381</xdr:colOff>
      <xdr:row>12</xdr:row>
      <xdr:rowOff>5382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96657</xdr:colOff>
      <xdr:row>2</xdr:row>
      <xdr:rowOff>0</xdr:rowOff>
    </xdr:from>
    <xdr:to>
      <xdr:col>7</xdr:col>
      <xdr:colOff>5381</xdr:colOff>
      <xdr:row>12</xdr:row>
      <xdr:rowOff>5382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602830</xdr:colOff>
      <xdr:row>1</xdr:row>
      <xdr:rowOff>179149</xdr:rowOff>
    </xdr:from>
    <xdr:to>
      <xdr:col>10</xdr:col>
      <xdr:colOff>296593</xdr:colOff>
      <xdr:row>16</xdr:row>
      <xdr:rowOff>160301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372046</xdr:colOff>
      <xdr:row>1</xdr:row>
      <xdr:rowOff>162983</xdr:rowOff>
    </xdr:from>
    <xdr:to>
      <xdr:col>13</xdr:col>
      <xdr:colOff>81412</xdr:colOff>
      <xdr:row>16</xdr:row>
      <xdr:rowOff>97530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257175</xdr:colOff>
      <xdr:row>1</xdr:row>
      <xdr:rowOff>180975</xdr:rowOff>
    </xdr:from>
    <xdr:to>
      <xdr:col>9</xdr:col>
      <xdr:colOff>561975</xdr:colOff>
      <xdr:row>16</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210385</xdr:colOff>
      <xdr:row>2</xdr:row>
      <xdr:rowOff>21258</xdr:rowOff>
    </xdr:from>
    <xdr:to>
      <xdr:col>10</xdr:col>
      <xdr:colOff>523061</xdr:colOff>
      <xdr:row>17</xdr:row>
      <xdr:rowOff>24390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82550</xdr:colOff>
      <xdr:row>0</xdr:row>
      <xdr:rowOff>52821</xdr:rowOff>
    </xdr:from>
    <xdr:to>
      <xdr:col>10</xdr:col>
      <xdr:colOff>28863</xdr:colOff>
      <xdr:row>11</xdr:row>
      <xdr:rowOff>180399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355296</xdr:colOff>
      <xdr:row>12</xdr:row>
      <xdr:rowOff>28862</xdr:rowOff>
    </xdr:from>
    <xdr:to>
      <xdr:col>9</xdr:col>
      <xdr:colOff>498927</xdr:colOff>
      <xdr:row>24</xdr:row>
      <xdr:rowOff>180396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374650</xdr:colOff>
      <xdr:row>17</xdr:row>
      <xdr:rowOff>170393</xdr:rowOff>
    </xdr:from>
    <xdr:to>
      <xdr:col>3</xdr:col>
      <xdr:colOff>2347736</xdr:colOff>
      <xdr:row>32</xdr:row>
      <xdr:rowOff>132773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2889250</xdr:colOff>
      <xdr:row>18</xdr:row>
      <xdr:rowOff>11922</xdr:rowOff>
    </xdr:from>
    <xdr:to>
      <xdr:col>7</xdr:col>
      <xdr:colOff>606592</xdr:colOff>
      <xdr:row>32</xdr:row>
      <xdr:rowOff>100745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2880485</xdr:colOff>
      <xdr:row>34</xdr:row>
      <xdr:rowOff>145210</xdr:rowOff>
    </xdr:from>
    <xdr:to>
      <xdr:col>7</xdr:col>
      <xdr:colOff>619125</xdr:colOff>
      <xdr:row>51</xdr:row>
      <xdr:rowOff>46232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403468</xdr:colOff>
      <xdr:row>34</xdr:row>
      <xdr:rowOff>144344</xdr:rowOff>
    </xdr:from>
    <xdr:to>
      <xdr:col>25</xdr:col>
      <xdr:colOff>30682</xdr:colOff>
      <xdr:row>51</xdr:row>
      <xdr:rowOff>47098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6941</xdr:colOff>
      <xdr:row>8</xdr:row>
      <xdr:rowOff>33154</xdr:rowOff>
    </xdr:from>
    <xdr:to>
      <xdr:col>6</xdr:col>
      <xdr:colOff>0</xdr:colOff>
      <xdr:row>16</xdr:row>
      <xdr:rowOff>7675</xdr:rowOff>
    </xdr:to>
    <mc:AlternateContent xmlns:mc="http://schemas.openxmlformats.org/markup-compatibility/2006">
      <mc:Choice xmlns:tsle="http://schemas.microsoft.com/office/drawing/2012/timeslicer" Requires="tsle">
        <xdr:graphicFrame macro="">
          <xdr:nvGraphicFramePr>
            <xdr:cNvPr id="6" name="Video Publish Date"/>
            <xdr:cNvGraphicFramePr/>
          </xdr:nvGraphicFramePr>
          <xdr:xfrm>
            <a:off x="0" y="0"/>
            <a:ext cx="0" cy="0"/>
          </xdr:xfrm>
          <a:graphic>
            <a:graphicData uri="http://schemas.microsoft.com/office/drawing/2012/timeslicer">
              <tsle:timeslicer xmlns:tsle="http://schemas.microsoft.com/office/drawing/2012/timeslicer" name="Video Publish Date"/>
            </a:graphicData>
          </a:graphic>
        </xdr:graphicFrame>
      </mc:Choice>
      <mc:Fallback>
        <xdr:sp macro="" textlink="">
          <xdr:nvSpPr>
            <xdr:cNvPr id="0" name=""/>
            <xdr:cNvSpPr>
              <a:spLocks noTextEdit="1"/>
            </xdr:cNvSpPr>
          </xdr:nvSpPr>
          <xdr:spPr>
            <a:xfrm>
              <a:off x="403816" y="2509654"/>
              <a:ext cx="11359559" cy="149852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1158430</xdr:colOff>
      <xdr:row>18</xdr:row>
      <xdr:rowOff>3856</xdr:rowOff>
    </xdr:from>
    <xdr:to>
      <xdr:col>12</xdr:col>
      <xdr:colOff>428626</xdr:colOff>
      <xdr:row>32</xdr:row>
      <xdr:rowOff>108811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381000</xdr:colOff>
      <xdr:row>17</xdr:row>
      <xdr:rowOff>179714</xdr:rowOff>
    </xdr:from>
    <xdr:to>
      <xdr:col>25</xdr:col>
      <xdr:colOff>50178</xdr:colOff>
      <xdr:row>32</xdr:row>
      <xdr:rowOff>123452</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27600</xdr:colOff>
      <xdr:row>34</xdr:row>
      <xdr:rowOff>141198</xdr:rowOff>
    </xdr:from>
    <xdr:to>
      <xdr:col>3</xdr:col>
      <xdr:colOff>2279048</xdr:colOff>
      <xdr:row>51</xdr:row>
      <xdr:rowOff>50243</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1158875</xdr:colOff>
      <xdr:row>34</xdr:row>
      <xdr:rowOff>106927</xdr:rowOff>
    </xdr:from>
    <xdr:to>
      <xdr:col>12</xdr:col>
      <xdr:colOff>421335</xdr:colOff>
      <xdr:row>51</xdr:row>
      <xdr:rowOff>88249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0</xdr:colOff>
      <xdr:row>7</xdr:row>
      <xdr:rowOff>241299</xdr:rowOff>
    </xdr:from>
    <xdr:to>
      <xdr:col>10</xdr:col>
      <xdr:colOff>31750</xdr:colOff>
      <xdr:row>16</xdr:row>
      <xdr:rowOff>0</xdr:rowOff>
    </xdr:to>
    <mc:AlternateContent xmlns:mc="http://schemas.openxmlformats.org/markup-compatibility/2006">
      <mc:Choice xmlns:a14="http://schemas.microsoft.com/office/drawing/2010/main" Requires="a14">
        <xdr:graphicFrame macro="">
          <xdr:nvGraphicFramePr>
            <xdr:cNvPr id="12" name="Date Category"/>
            <xdr:cNvGraphicFramePr/>
          </xdr:nvGraphicFramePr>
          <xdr:xfrm>
            <a:off x="0" y="0"/>
            <a:ext cx="0" cy="0"/>
          </xdr:xfrm>
          <a:graphic>
            <a:graphicData uri="http://schemas.microsoft.com/office/drawing/2010/slicer">
              <sle:slicer xmlns:sle="http://schemas.microsoft.com/office/drawing/2010/slicer" name="Date Category"/>
            </a:graphicData>
          </a:graphic>
        </xdr:graphicFrame>
      </mc:Choice>
      <mc:Fallback>
        <xdr:sp macro="" textlink="">
          <xdr:nvSpPr>
            <xdr:cNvPr id="0" name=""/>
            <xdr:cNvSpPr>
              <a:spLocks noTextEdit="1"/>
            </xdr:cNvSpPr>
          </xdr:nvSpPr>
          <xdr:spPr>
            <a:xfrm>
              <a:off x="13065125" y="2463799"/>
              <a:ext cx="7016750" cy="1536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254000</xdr:colOff>
      <xdr:row>2</xdr:row>
      <xdr:rowOff>19051</xdr:rowOff>
    </xdr:from>
    <xdr:to>
      <xdr:col>25</xdr:col>
      <xdr:colOff>-1</xdr:colOff>
      <xdr:row>15</xdr:row>
      <xdr:rowOff>158751</xdr:rowOff>
    </xdr:to>
    <mc:AlternateContent xmlns:mc="http://schemas.openxmlformats.org/markup-compatibility/2006">
      <mc:Choice xmlns:a14="http://schemas.microsoft.com/office/drawing/2010/main" Requires="a14">
        <xdr:graphicFrame macro="">
          <xdr:nvGraphicFramePr>
            <xdr:cNvPr id="14" name="Video Title"/>
            <xdr:cNvGraphicFramePr/>
          </xdr:nvGraphicFramePr>
          <xdr:xfrm>
            <a:off x="0" y="0"/>
            <a:ext cx="0" cy="0"/>
          </xdr:xfrm>
          <a:graphic>
            <a:graphicData uri="http://schemas.microsoft.com/office/drawing/2010/slicer">
              <sle:slicer xmlns:sle="http://schemas.microsoft.com/office/drawing/2010/slicer" name="Video Title"/>
            </a:graphicData>
          </a:graphic>
        </xdr:graphicFrame>
      </mc:Choice>
      <mc:Fallback>
        <xdr:sp macro="" textlink="">
          <xdr:nvSpPr>
            <xdr:cNvPr id="0" name=""/>
            <xdr:cNvSpPr>
              <a:spLocks noTextEdit="1"/>
            </xdr:cNvSpPr>
          </xdr:nvSpPr>
          <xdr:spPr>
            <a:xfrm>
              <a:off x="21034375" y="971551"/>
              <a:ext cx="8191499" cy="299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076.082261805554" createdVersion="5" refreshedVersion="5" minRefreshableVersion="3" recordCount="14">
  <cacheSource type="worksheet">
    <worksheetSource ref="A1:D15" sheet="Age &amp; Gender"/>
  </cacheSource>
  <cacheFields count="4">
    <cacheField name="Viewer Age" numFmtId="0">
      <sharedItems count="7">
        <s v="13 to 17 years"/>
        <s v="18 to 24 years"/>
        <s v="25 to 34 years"/>
        <s v="35 to 44 years"/>
        <s v="45 to 54 years"/>
        <s v="55 to 64 years"/>
        <s v="65+ years"/>
      </sharedItems>
    </cacheField>
    <cacheField name="Viewer Gender" numFmtId="0">
      <sharedItems count="2">
        <s v="Female"/>
        <s v="Male"/>
      </sharedItems>
    </cacheField>
    <cacheField name="Views (%)" numFmtId="10">
      <sharedItems containsSemiMixedTypes="0" containsString="0" containsNumber="1" minValue="1.8E-3" maxValue="0.2389"/>
    </cacheField>
    <cacheField name="Watch time (Hours) (%)" numFmtId="10">
      <sharedItems containsSemiMixedTypes="0" containsString="0" containsNumber="1" minValue="8.9999999999999998E-4" maxValue="0.252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077.450630671294" createdVersion="5" refreshedVersion="5" minRefreshableVersion="3" recordCount="499">
  <cacheSource type="worksheet">
    <worksheetSource ref="A1:M500" sheet="Video Data"/>
  </cacheSource>
  <cacheFields count="14">
    <cacheField name="Content ID" numFmtId="0">
      <sharedItems/>
    </cacheField>
    <cacheField name="Video Title" numFmtId="0">
      <sharedItems count="494">
        <s v="Kohinoor Eden Kalyan East | 1BHK Sample Flat Tour | Kohinoor Eden Location &amp; Price | Call 7021988393"/>
        <s v="Davkhar Sereno Kalyan East | 2BHK Show Flat Tour | Affordable Luxury Homes Kalyan | Call 7021988393"/>
        <s v="1 BHK Flat in Kalyan West Khadakpada | Sarvoday Classic 1 BHK Flat | 1 BHK Flat | Call 7021988393"/>
        <s v="Luxury 2 BHK Flat for Sale in Kalyan West | Tharwani Majestic Towers 2 BHK Flat | Call 7021988393"/>
        <s v="Shubharambh Titwala 1 BHK Show Flat Tour | 1 BHK in Titwala | Best Titwala Project | Call 7021988393"/>
        <s v="2 BHK Flat for Sale in Dombivli East | Lodha Crown Dombivli Full Project Review | Call 7021988393"/>
        <s v="Kohinoor Gardens Shahad | 1 BHK Flat for Sale in Kalyan | 1 BHK Flat For Sale | Call 7021988393"/>
        <s v="Dream Atlantis Kalyan West | 3BHK Sample Flat Tour | Biggest Carpet Flat in Kalyan | Call 7021988393"/>
        <s v="YSquare Thane 2BHK Show Flat Tour | Premium Living on Kolshet Road | Flat in Thane | Call 7021988393"/>
        <s v="Mountain Greens 1 BHK Flat for Sale in Kalyan East | Affordable 1 BHK Flat | Call 7021988393"/>
        <s v="Godrej Exquisite Thane | 3 BHK Show Flat Tour | Premium Homes in Thane West | Call 7021988393"/>
        <s v="Barku Heights Flats for Sale | 1 BHK Homes in Kalyan East | 1 BHK Flat In Kalyan | Call 7021988393"/>
        <s v="Vihang Infinity Thane | 1 &amp; 2 BHK Sample Flat | Vihang Capital Thane Reviews | Call 7021988393"/>
        <s v="Sai Altezza Kalyan East | Premium 2 BHK Flat for Sale in Kalyan | Kalyan East Flats |Call 7021988393"/>
        <s v="2 BHK Flat for Sale in Kalyan West | Chavan Advaitam Project | Kalyan West Flat | Call 7021988393"/>
        <s v="Saket Ayodhya City (Kalyan E) | 2BHK From 50Lakhs Onwards | Usable Area 540Sq.Ft. | Call 7021988393"/>
        <s v="Sahyadri Elite Kalyan East 1 BHK Flat for Sale | 1 BHK Flat In Kalyan | 1 BHK Flat | Call 7021988393"/>
        <s v="Marathe Tower Titwala | Marathe Tower 2 BHK Flat Tour | Flat Near Titwala Mandir | Call 7021988393"/>
        <s v="Tulip Heights Kalyan | Spacious 2 BHK Flat Tour | Project Details | Call 7021988393"/>
        <s v="Atlanta Avadh Shahad | 1 &amp; 2BHK Flats in Kalyan Shahad | Starting at 35 Lacs | Call 7021988393"/>
        <s v="1 &amp; 2 BHK Flat in Kalyan | Best Property in Kalyan | Seasons Green Kalyan West | Call 7021988393"/>
        <s v="1BHK Flat Starting From 20Lacs Only | Haware My First Home Kalyan Bapgaon | Call 7021988393"/>
        <s v="Kalpataru Park City Kolshet Road Thane West | 2 BHK &amp; 3 BHK Flats for Sale | Call 7021988393"/>
        <s v="Desai Celeste Kalyan West | Luxurious 2 &amp; 3 BHK Flats | Project Model | Call 7021988393"/>
        <s v="Purva Panorama Thane | 2BHK Luxurious Show Flat Tour | Purvankara Ghodbunder Road | Call 7021988393"/>
        <s v="7021988393 | Kalyan West 1 &amp; 2 BHK Flats for Sale | Seasons Green Kalyan | New Construction Project"/>
        <s v="5BHK with Biggest Balcony in Kalyan West | 5BHK Luxury Flat in Kalyan | Call 7021988393"/>
        <s v="Kalyan West 1 BHK Flat | Arihant Aaradhya | 1 BHK Kalyan West Flat For Sale | Call 7021988393"/>
        <s v="Kalyan West 1 BHK Flat Low Price | Haware My First Home Project | 1 BHK Flat | Call 7021988393"/>
        <s v="Dosti West County Thane West | 2BHK Sample Flat Tour | Luxury Living Thane | Call 7021988393"/>
        <s v="Balaji Sarvoday Thakurli 2 BHK Sample Flat Tour | Reviews &amp; Location Details | Call 7021988393"/>
        <s v="Kohinoor Eden Kalyan East | 1 &amp; 2 BHK Sample Flat Price | Project Drone View | Call 7021988393"/>
        <s v="Heaven Enclave Kalyan West | 2 &amp; 3 BHK Flat for Sale in Wadeghar Kalyan New Project | Call 70219883931"/>
        <s v="Kalyan West 2 BHK Flat For Sale | Latest Price &amp; Location | Chavan advaitam 2 BHK | Call 7021988393"/>
        <s v="Veer Hills Thane West Project | 1 &amp; 2 BHK Flats in Thane | VB Group Projects | Call 7021988393"/>
        <s v="Mega Pearl Titwala | 1BHK Actual Flat Tour | Flats in Titwala Near Station | Call 7021988393"/>
        <s v="Atlanta Avadh Shahad 7021988393 1 &amp; 2 BHK Flats for Sale just 2 Min from Station - New Project"/>
        <s v="Piramal Vaikunth Thane | 1 &amp; 2 BHK Flat Tour + Drone View | Premium Thane Property | Call 7021988393"/>
        <s v="1 BHK Flat for Sale in Kalyan East | Kalyan East 1 BHK Flats | Kalyan East Flat | Call 7021988393"/>
        <s v="Kohinoor Anaya Ulhasnagar | Project Model &amp; Location Details | New Projects Kalyan | Call 7021988393"/>
        <s v="Thane West 1 BHK Flat | Thane 1 BHK flat For Sake | Y Square 1 BHK Flat | Call 7021988393"/>
        <s v="Saket Ayodhya City Kalyan East | Saket Nature Vista 2 BHK Sample Flat Tour | Call 7021988393"/>
        <s v="2 BHK Flat in Dombivli East | 2 BHK Flat For Sale In Dombivli | Lodha Crown Flat | Call 7021988393"/>
        <s v="Call 7021988393 | Waah Taj Kalyan West | Codename Waah Taj | 2 BHK Sample Flat &amp; Project Details"/>
        <s v="Call 7021988393 | Rai Galaxy Kalyan East | 1 BHK UC Flat Tour Kalyan | Flat for Sale in Kalyan"/>
        <s v="2 BHK Flat for Sale in Kalyan East | 2 BHK Flats in Kalyan | Kalyan Flats For Sale | Call 7021988393"/>
        <s v="Call 7021988393 | Sahyadri Elite 1BHk Sample Flat Tour | Kalyan East Premium Project in Kalyan"/>
        <s v="1 &amp; 2 BHK Flats in Thakurli | Full Project Details | 1 &amp; 2 BHK Flats For Sale | Call 7021988393"/>
        <s v="Call 7021988393 | 3BHK Luxury Flat in Kalyan | Rai Residency | Rai Ashtami Kalyan 3BHK Flat"/>
        <s v="Call 7021988393 | Kohinoor Eden Kalyan East | Affordable 2BHK Flat in Kalyan | Flat in Kalyan"/>
        <s v="Premium 2.5 BHK in Sai World Dreams Dombivli | New Flat with World-Class Amenities | Call 7021988393"/>
        <s v="Call 7021988393 | Sai World Dreams Dombivli East | 1 &amp; 2 BHK Actual Flat Tour | Review &amp; Location"/>
        <s v="7021988393Atlanta Avadh Shahad - 1 &amp; 2 BHK Apartment for Sale near Shahad Station"/>
        <s v="Rusttagi Aarambha 1 BHK Flat for Sale in Titwala | Affordable Luxury by Rustagi | Call 7021988393"/>
        <s v="1 BHK Flat for Sale | Saket Nature Vista in Kalyan East | Ayodhya City | Call 7021988393"/>
        <s v="Near Station 1BHK Flat | Limited Flats Available | 7021988393"/>
        <s v="Spacious 2 BHK Homes in Kalyan West | Sai Raj Altezza Kalyan West | Call 7021988393"/>
        <s v="1BHK @45.99 Lakhs… 2BHK @65.66 Lakhs “Thakurli 7021988393 1 &amp; 2 BHK Flats for Sale near Station"/>
        <s v="Live Dubai Life in Dombivli | Sai World Dreams Dombivli | 1 &amp; 2 BHK Spacious Flat | Call 7021988393"/>
        <s v="Call 7021988393 | 1BHK Spacious Home in Kalyan | MidTown Adam &amp; Eve Kalyan West"/>
        <s v="Luxury 2 BHK in Kalyan West | Palika Junomoneta Price | Site Visit | Call 7021988393"/>
        <s v="7021988393 | Ready &amp; Affordable 1 &amp; 2 BHK Flats for Sale Kalyan West |Sagar Homes Project Review"/>
        <s v="Kalyan‚ Urgent 2BHK Flat Call 7021988393|Don't Miss...Hurry Up| Call 7021988393"/>
        <s v="70219883931/2 BHK Next to UMC Garden | New Project in Shahad near Station | Kohinoor Gardens"/>
        <s v="Luxury 2 BHK Flat For Sale in Kalyan West | Midtown Adam &amp; Eve W90 | Call 7021988393"/>
        <s v="Call 7021988393 | Piramal Vaikunth Thane | 1.5 BHK Sample Flat Tour | Ready to Move Flats in Thane"/>
        <s v="Shahad 1 &amp; 2 BHK 37.26 Lakhs 7021988393 | Kohinoor Gardens Shahad"/>
        <s v="Call 7021988393 | Raunak Maximum City Thane | 2BHK Sample Flat Tour | Thane Residential Properties"/>
        <s v="7021988393Ready to Move 2 BHK 45.99 Lakhs at Kohinoor Highland Dombivli East New Project"/>
        <s v="70219883931 &amp; 2 BHK BHK starts @37.26 | 2 Min's from Shahad Station†| New Construction Project"/>
        <s v="70219883932 MIN from Station - 1/2 BHK Homes for Sale | Metro Pride Thakurli New Project"/>
        <s v="Call 7021988393 | Spacious 1BHK Flat in Shahad Kalyan | Kohinoor Gardens 1 &amp; 2 BHK Residency Project"/>
        <s v="Call 7021988393 | Seasons Green Kalyan West | 1 &amp; 2 BHK Affordable Flats | Starting From 33.99L"/>
        <s v="Seasons Green 1 &amp; 2 BHK Starting 39.99L | Kalyan West"/>
        <s v="Metro Pride, Thakurli Premium 1 &amp; 2 BHK Homes Starting 45.99L! Call 7021988393"/>
        <s v="1 &amp; 2 BHK Flats in Dombivli | Anandi Imperial Dombivli East | 7021988393"/>
        <s v="Piramal Vaikunth Thane 1.5 BHK Home Tour | Ready to Move Flats | Price &amp; Location | Call 7021988393"/>
        <s v="Call 7021988393 | Ghar Mela 2.0 | New Homes in Kalyan at Affordable Price | Kalyan Group"/>
        <s v="Call 7021988393 | Kalyan Elite Kalyan West | Exclusive 2BHK Flats Apartment | New Project in Kalyan"/>
        <s v="Kohinoor Eden Kalyan East | 1 &amp; 2BHK Sample Flat | Full Detail with Clubhouse Tour | Call 7021988393"/>
        <s v="Call 7021988393 | Kohinoor Gardens Shahad | Spacious 1 &amp; 2 BHK Flats with Modern Amenities"/>
        <s v="Call 7021988393 | Yashraj Paradise Kalyan East | 1 &amp; 2 BHK Luxury Flats in Kalyan | Budget Property"/>
        <s v="Saket Ayodhya City Kalyan | 1 &amp; 2 BHK Luxury Flat | Saket Nature Vista Kalyan East | Call 7021988393"/>
        <s v="Kalyan East 1 BHK Flats for Sale | Sai Altezaa New Launch Homes |Call 7021988393"/>
        <s v="Call 7021988393 | Peaceful Society in Kalyan | Sagar Homes 1BHK Flat Tour | Budget Friendly Homes"/>
        <s v="2 BHK Flat for Sale in Kalyan East | Premium Home Tour at Rai Residency | Call 7021988393"/>
        <s v="Waah Taj Kalyan West | Kongaons New Premium Project | 1, &amp; 2 BHK Luxury Homes | Call 7021988393"/>
        <s v="Call 7021988393 | Birla Vanya 4BHK Luxury Spacious Flat | Luxury Flats in Kalyan West | Birla Vanya"/>
        <s v="Spacious 2 BHK Flat For Sale Kalyan | Chavan Advaitam Kalyan West Flat &amp; Details | Call 7021988393"/>
        <s v="Call 7021988393 | Kohinoor Gardens Shahad | 2BHK Luxury Flat Near Kalyan Station | Flat Video Tour"/>
        <s v="Call 7021988393 | Kohinoor Gardens Shahad Project Review | 1 &amp; 2 BHK Affordable Flats in Kalyan"/>
        <s v="Sunraj Solitaire Dombivli | Spacious 2 BHK Flats for Sale | New Project Dombivli | Call 7021988393"/>
        <s v="2 BHK Flat for Sale in Kalyan West | Chavan Advaitam Price, Reviews &amp; Details | Call 7021988393"/>
        <s v="Call 7021988393 | Metro Pride Thakurli with Modern Lifestyle Amenities | Home at River View Place"/>
        <s v="Kohinoor Gardens Shahad | 1 &amp; 2 BHK Flat in Kalyan | Kohinoor Gardens Review | Call 7021988393"/>
        <s v="Marathe New Project Titwala | Spacious 1 &amp; 2 BHK Flats for Sale | Living in Budget | Call 7021988393"/>
        <s v="Call 7021988393 | Ira Insignia Dombivli | Dombivli Ka Shivalay | Spacious Home with Top Amenities"/>
        <s v="Metro Pride Thakurli | 1 &amp; 2BHK Flats Review | Kalyan East New Project 2026 | Call 7021988393"/>
        <s v="Call 7021988393 | Mangeshi World 2BHK Flat | Mangeshi Imperial Kalyan West | Rambaug 4 Kalyan West"/>
        <s v="2 BHK Modern Flats Shahad | Kohinoor Gardens in Kalyan | Property Tour | Call 7021988393"/>
        <s v="Premium 2BHK Flats for Sale | Palika Junomoneta Kalyan West | Tour &amp; Price Details | Call 7021988393"/>
        <s v="Call 7021988393 | Manokamana Kalyan West 2BHK Sample Flat Walkthrough | 1 &amp; 2BHK Flats in Khadakpada"/>
        <s v="Raunak Earth Park Kalyan West | Affordable 1BHK, 2BHK, 3BHK | near Raunak City | Location &amp; Review"/>
        <s v="Call 7021988393 | Ultra Luxurious Premium Residences in Dombivli | Lodha Hanging Gardens Palava"/>
        <s v="Call 7021988393 | Tata Amantra 2BHK Sample Flat Tour | Affordable 2BHK Flat in Kalyan West"/>
        <s v="Lodha Palava 4 BHK Ultra Luxury Flat For Sale | Lodha Hanging Gardens | Call 7021988393"/>
        <s v="Lodha Hanging Gardens Palava | 3 &amp; 4 BHK Flats | Ultra Luxury Living in Dombivli | Call 7021988393"/>
        <s v="Luxury 2 BHK Flats in JP Anant Kalyan West Rambaug | Kalyan Flat For Sale | Call 7021988393"/>
        <s v="Call 7021988393 | Raunak Earth Park Kalyan West | 3BHK Luxury Sample Flat Tour"/>
        <s v="Tharwani Vedant Millenia Titwala | Drone View, Clubhouse &amp; 1 &amp; 2 BHK Flat Tour | Call 7021988393"/>
        <s v="Call 7021988393 | Raunak Earth Park 2BHK Sample Flat Tour | Kalyan Me 2BHK Flat Sirf 54Lacs Me"/>
        <s v="Kalyan West Sarvoday Marvel | 1 &amp; 2 BHK Flats for Sale in Khadakpada Kalyan | Call 7021988393"/>
        <s v="2 BHK Flat for Sale in Thakurli | Metro Luxuria | Premium Living Sample Flat | Call 7021988393"/>
        <s v="Call 7021988393 | Tharwani Vedant Millenia Titwala 1BHK Flat | Flat Near Ganpati Mandir Titwala"/>
        <s v="Call 7021988393 | Heaven Enclave 1BHK UC Flat | Affordable Spacious Flat in Kalyan West"/>
        <s v="Call 7021988393 | 2BHK FURNISHED FLAT IN KALYAN WEST | SIYARA DHAM KALYAN BHIWANDI"/>
        <s v="1 BHK Flat for Sale in Titwala | A1 Living Smart Homes | Sample Flat Tour | Call 7021988393"/>
        <s v="Kalyan Me Aapke Budget Me 2BHK Spacious Flat | Seasons Green Kalyan West | Call 7021988393"/>
        <s v="A1 Living Titwala | Subhash Residency | Drone View of Luxury Project Near Kalyan | Call 7021988393"/>
        <s v="Sarvoday Marvel | 2 BHK Sample Flat Tour | Is This Your Dream Home in Kalyan | Call 7021988393"/>
        <s v="Spacious 1 BHK Flat for Sale in Kalyan East | Krishna Ultima Full Review | Call 7021988393"/>
        <s v="1 BHK Titwala East | Astha Omkar | Budget Flat Near Gaondevi Mandir | Call 7021988393"/>
        <s v="Call 7021988393 | Kingsman Residency Kalyan West | Luxury Living in Kalyan West | Flat in Khadakpada"/>
        <s v="Aastha Omkar Titwala | 1BHK Luxury Flat Tour | Premium Homes Near Titwala Station | Call 7021988393"/>
        <s v="Call 7021988393 | Anandi Imperial Dombivli 1BHK Actual Flat Tour | Spacious Homes in Dombivli"/>
        <s v="Call 7021988393 | Godrej Upavan 2BHK Sample Flat Tour | Affordable Luxury Project by Godrej"/>
        <s v="Call 7021988393 | SPACIOUS LUXURY 2BHK FLAT IN KALYAN | SAI PARK STREET KALYAN"/>
        <s v="1 BHK Flat in Raunak City Kalyan | Luxury Living at Affordable Price | Call 7021988393"/>
        <s v="Call 7021988393 | Lodha Crown Dombivli 2 BHK Luxury Flat | Lodha Crown Dombivli Price"/>
        <s v="Call 7021988393 | Seasons Green Kalyan West | Kalyan Ka Biggest Garden | 1 &amp; 2 BHK Flat in Kalyan"/>
        <s v="Raunak Earth Park Kalyan West | 3BHK Sample Flat Tour | Raunak City Kalyan West | Call 7021988393"/>
        <s v=" Midtown Adam Eve Kalyan West | Luxury 2 BHK Flat in Khadakpada | Call 7021988393"/>
        <s v="Raunak Earth Park Kalyan West | Raunak City Township Drone View | Flats in Kalyan | Call 7021988393"/>
        <s v="Seasons Green Kalyan West | Project Review­| 1 &amp; 2 BHK Flat for Sale in Kalyan West |7021988393"/>
        <s v="Call 7021988393 | New Project Launch in Kalyan | Mohan Prestige 4 BHK Luxury Flats"/>
        <s v="Call 7021988393 | Kalyan Tallest Tower | Mohan Prestige Kalyan West | Luxury 4BHK Residency"/>
        <s v="4 BHK Flat in Kalyan West | Mohan Prestige Kalyan | Price &amp; Project Review | Call 7021988393"/>
        <s v="Call 7021988393 | Dombivli Ka Premium Budget Friendly Project | Sunraj Solitaire 1BHK Flat"/>
        <s v="Call 7021988393 | Kohinoor Uptown 1BHK Flat with Gifts | Biggest Carpet At Lowest Price"/>
        <s v="Kalyan Surabhi Homes | 1 BHK Flat for Sale in Kalyan | Modern Amenities | Call 7021988393"/>
        <s v="Kulswamini Pride Dombivli | 1 &amp; 2 BHK Premium Flats for Sale | Ready to Move Homes | Call 7021988393"/>
        <s v="Call 7021988393 | 2BHK Sample Flat of Regency Avana Kalyan | Best Luxurious Project in Kalyan"/>
        <s v=" Sharda Serene | Luxury 2 BHK Flat for Sale in Shahad, Kalyan West | Call 7021988393"/>
        <s v="Call 7021988393 | Ajmera One 1BHK Ultra Luxury Flat in Kalyan | New &amp; Ready To Move Project"/>
        <s v="Vaishnavi Pride Kalyan East | 1 BHK Flats for Sale Near Chakki Naka &amp; Metro Mall | Call 7021988393"/>
        <s v="Call 7021988393 | Most Affordable Mangeshi Project in Kalyan Ambivli | 1BHK Sample Flat Tour"/>
        <s v="Call 7021988393 | Tharwani Vedant Nakshatra | 2 BHK Flat in Badlapur West Near Station"/>
        <s v="Mehta Legend Thane | Luxury 1 BHK Flat For Sale in Thane | Call 7021988393"/>
        <s v="Ajmera One Kalyan | Luxury 1 &amp; 2 BHK Homes in Kalyan West | Ajmera One Drone View | Call 7021988393"/>
        <s v="Call 7021988393 | 2BHK Flat in 1BHK Price | Kohinoor Highland Dombivli East"/>
        <s v="Kohinoor Highland Dombivli East | 1&amp;2 BHK Flat For Sale in Dombivli | Drone View | Call 7021988393"/>
        <s v="Tulsi City Flats | 1 &amp; 2 BHK Flats for Sale in Badlapur East | Call 7021988393"/>
        <s v="Kohinoor Highland Dombivli East | Sample Flat Tour &amp; Full Project Review | Call 7021988393"/>
        <s v="Call 7021988393 | Vikas Ritz Kalyan West | Ritz by Vikas Developers | Sample Flat Tour 2025"/>
        <s v="The Green Sapphirre | Premium 1BHK &amp; 2BHK Flats in Kalyan West | Luxury | Call 7021988393"/>
        <s v="Call 7021988393 | Panchratna Sapphire Kalyan East | 1 &amp; 2 BHK Luxury Flats with Modern Amenities"/>
        <s v="Call 7021988393 | Big Carpet Area Flat in Kalyan West | Kalyan Aashiyana Kalyan West"/>
        <s v="Samruddhi Heights Kalyan West | 1 &amp; 2 BHK Flats for Sale in Kalyan | Call 7021988393"/>
        <s v="Call 7021988393 | Affordable Big Carpet Homes in Dombivli | Anandi Imperial Dombivli East"/>
        <s v="Anandi Imperial Dombivli East | 1 &amp; 2 BHK Big Carpet Flats | New Project Dombivli | Call 7021988393"/>
        <s v="Call 7021988393 | 1BHK Flat in Kalyan West | Manokamana Project Beside Singhania School"/>
        <s v="Call 7021988393 | Anand Imperial Kalyan | 1 &amp; 2BHK Affordable Luxury Flats | New Launch in Kalyan"/>
        <s v="Call 7021988393 | Luxurious Living with Kohinoor Uptown Kalyan | 1BHK Sample Flat Tour"/>
        <s v="Call 7021988393 | Siyara Fortune Bhiwandi | 1 BHK Luxury Homes Starting 30 Lakh"/>
        <s v="Call 7021988393 | Sagar Homes Kalyan | 1 &amp; 2 BHK Flats with Balcony | Ready to Move Homes in Kalyan"/>
        <s v="Sagar Homes Kalyan | 1 &amp; 2BHK Flats with Balcony | Ready To Move Project in Kalyan | Call 7021988393"/>
        <s v="Call 7021988393 | 1BHK Premium Flat in Kalyan | Krishna Ultima"/>
        <s v="Call 7021988393 | Kohinoor Highland Dombivli | Budget Luxurious Project in Dombivli"/>
        <s v="Call 7021988393 | Luxurious Spacious Home in Kalyan | 2BHK Sample Flat of Tharwani Vedant Palacia"/>
        <s v="Call 7021988393 | Commercial Office Spaces in Dombivli | Big Space for Your Business | Globe Estate"/>
        <s v="Call 7021988393 | See The Project You Fall in Love | Kapleshwara Residency 2BHK Sample Flat Tour"/>
        <s v="Call 7021988393 | Look  What a Luxury Flat! 3BHK | Tharwani Vedant Palacia Kalyan West"/>
        <s v="Call 7021988393 | 2BHK Spacious Flat in Kalyan at Tharwani Vedant Palacia | Flat in Khadakpada"/>
        <s v="Call 7021988393 | Kidhar Aana Hai! DMart Ke Upar | Look Mohan Altezza in 30 Seconds"/>
        <s v="Triveni Pearl Kalyan | 2BHK Luxury Flat Tour | Premium Flats in Kalyan West | Call 7021988393"/>
        <s v="Call 7021988393 | Kalyan Me Sabse Sasta Project with Badha Carpet | Kalyan Aashiyana Kalyan West"/>
        <s v="Call 7021988393 | Spacious 1BHK Affordable Flats in Kalyan | Yash Raj Paradise Kalyan East"/>
        <s v="Call 7021988393 | 1BHK Luxury Flat Tour in Kalyan East | Panchratna Sapphire | New Property 2025"/>
        <s v="Call 7021988393 | Kalyan Aashiyana 1BHK Sample Flat Tour | Ready To Move Project in Kalyan"/>
        <s v="Call 7021988393 | Dombivli's Shivalay | 2BHK Spacious Flat in Dombivli | Ira Insignia"/>
        <s v="Call 7021988393 | Inside Stunning 2BHK Luxury Flat at Yashraj Paradise Kalyan | Dream Home 2025"/>
        <s v="Call 7021988393 | 2BHK Affordable Flat in Kalyan West | Luxury Living in Budget at Seasons Green"/>
        <s v="Call 7021988393 | Property | Property Buying Tips in Hindi"/>
        <s v="Call 7021988393 | Kalyan West Ka Budget Luxury Project with Best Connectivity"/>
        <s v="Property | Real Estate Tips for Buyers | Call 7021988393"/>
        <s v="Beautifully Planned Luxury Project in Kalyan | Konark Solitaire Amenities Tour | Call 7021988393"/>
        <s v="Call 7021988393 | 2BHK Beautiful Flat in Kalyan | Luxury and Best Location Project in Kalyan"/>
        <s v="Call 7021988393 | Kalyan Me Highway Touch Budget Friendly Homes | Kalyan Residency 1BHK Sample Flat"/>
        <s v="Call 7021988393 | Dombivli Me Luxury 2BHK Flat Bilkul Aapke Budget Me | Vastu Luxuria"/>
        <s v="Call 7021988393 | Kalyan Ka Best Budget 1BHK Flat | Kalyan Vihar Sample Flat Tour"/>
        <s v="Call 7021988393 | Prime Location Prime Project | 1BHK Affordable Flat by Vikas Ritz Kalyan West"/>
        <s v="Call 7021988393 | Commercial Spaces in Kalyan | Industrial Gala Units For Sale | Asmeeta Texpa"/>
        <s v="Call 7021988393 | Kalyan Main Best Location aur Connectivity Ke Sath Luxury Spacious 2BHK Flat"/>
        <s v="Call 7021988393 | 1BHK Flat in Kalyan West | Next to Singhania School | Manokamana Kalyan"/>
        <s v="Call 7021988393 | Kalyan Ka Big Empire | Luxury Flats by Tharwani Vedant Empire Kalyan"/>
        <s v="Call 7021988393 | 1BHK Premium Flat at Best Location in Kalyan | Cornerstone 1BHK Sample Flat Tour"/>
        <s v="Call 7021988393 | Kalyan Me Premium Luxury 2BHK Flat Under 80Lac | Sai Park Street Kalyan West"/>
        <s v="Call 7021988393 | Affordable 1BHK Flats in Kalyan with Modern Rooftop Amenities | Kalyan Vihar"/>
        <s v="Call 7021988393 | 2BHK Flat Near Kalyan Railway Station | Luxury Homes in Kalyan | Tanishq"/>
        <s v="Call 7021988393 | Kalyan East Ka Premium Project with Premium Facilities | Druga Imperial Kalyan"/>
        <s v="Kalyan Vihar 1BHK Sample Flat Tour | New RERA Approved Project in Kalyan West 2025 | Call 7021988393"/>
        <s v="Call 7021988393 | Kalyan Me Modern Amenities ke Sath 1BHK Budget Flat | Kalyan Residency"/>
        <s v="Call 7021988393 | Mangeshi World 2BHK Sample Flat Tour | 2BHK Flat Near Kalyan Station"/>
        <s v="Kalyan Residency 1BHK Flat Tour | Affordable Homes in Kalyan West | Call 7021988393"/>
        <s v="Call 7021988393 | Luxury Project in Titwala | Flats Near Titwala Ganpati Mandir | Vedant Millenia"/>
        <s v="7021988393Affordble &amp; Luxury 3 BHK Flat in KalyanTata Amantra - Kalyans Iconic Address"/>
        <s v="Call 7021988393 | Kulswamini Pride 2BHK Sample Flat Tour | 2BHK Premium Flat in Dombivli"/>
        <s v="Call 7021988393 | Kalyan Khadakpada ka Shaandar Luxury Project | Mehat Altura 2BHK Sample Flat Tour"/>
        <s v="Call 7021988393 | Super Spacious 1BHK Flat in Kalyan | Ready To Move Project in Kalyan"/>
        <s v="Call 7021988393 | Kalyan Me Sirf 45L Me 2BHK Spacious Flat | Mountain Dream City Kalyan"/>
        <s v="Kalyan Ka Big Empire | Tharwani Vedant Empire 3BHK Raw Flat | Call 7021988393"/>
        <s v="Spacious Premium 1BHK Flat in Thakurli | Ready To Move Project in Kalyan | Call 7021988393"/>
        <s v="The Green Sapphirre Kalyan | Premium Township Project with 1 &amp; 2 BHK Flats | Call 7021988393"/>
        <s v="Call 7021988393 | Dombivli Me Nature Homes 54.99Lac Se Shuru | 1BHK Sample Flat Tour"/>
        <s v="Call 7021988393 | Siyara Fortune 1BHK Sample Flat | Premium Flats in Bhiwandi"/>
        <s v="Mangeshi Jupiter Ready To Move 1 &amp; 2BHK Flats in Kalyan Call | 7021988393"/>
        <s v="Titwala Me Sirf 17 Lakh Me Mil Raha hai 1BHK Flat | Shubharambh Titwala | Call 7021988393"/>
        <s v="Call 7021988393 | Rustomjee Urban Woods 1BHK Sample Flat Tour | Price Starting at 49Lakh Onward"/>
        <s v="Call 7021988393 | Badlapur Me Budget 2BHK Homes | Tulsi Aawas by Raj Group"/>
        <s v="Call 7021988393 | Dombivli Me Nature Surrounded Homes | 2BHK Sample Flat of Nivasa Green City"/>
        <s v="Mangeshi World 2BHK Sample Flat Tour | Spacious 1 &amp; 2BHK Flats in Kalyan | Call 7021988393"/>
        <s v="Call 7021988393 | Affordable Luxury Life in Dombivli | Sai Dream One Codename Jackpot (Lush Green)"/>
        <s v="Call 7021988393 | Affordable 2BHK Luxury Flat in Thakurli Kalyan | Metro Luxuria"/>
        <s v="Call 7021988393 | 1 &amp; 2 BHK Flats in Kalyan at Shocking Price! | Ready to Move | Haware Bapgaon"/>
        <s v="Krishna Trident 2BHK Sample Flat | Premium Budget Flats in Kalyan | Call 7021988393"/>
        <s v="Call 7021988393 | Kohinoor Uptown Kalyan | Premium Homes in Kalyan | 1BHK Sample Flat Tour"/>
        <s v="Call 7021988393 | Budget Flats in Thakurli | Balaji Krishna Apartment"/>
        <s v="Elite Galaxy Dombivli | Luxury Budget Project in Dombivli | Call 7021988393"/>
        <s v="Kalyan Dombivli Railway Line Me Behtareen Project | Amber One Thakurli | Call 7021988393"/>
        <s v="White Square Kalyan Sample Flat | 2, 3 &amp; 4BHK Luxury Flats in Kalyan West | Call 7021988393"/>
        <s v="The Green Sapphirre Kalyan | Township Drone View Tour | Call 7021988393"/>
        <s v="Rustomjee 3BHK Sample Flat Tour | Luxury Project in Dombivli | Call 7021988393"/>
        <s v="7021988393The Green Sapphirre - Kalyan West | Affordable 1 &amp; 2 BHK Flats for Sale in Kalyan"/>
        <s v="Birla Vanya Kalyan | Luxurious Life Designed Homes | Drone View &amp; Project Overview | Call 7021988393"/>
        <s v="Dombivli Ka Prime Project | Lodha Crown 2BHK Sample Flat Tour | Call 7021988393"/>
        <s v="Kalyan ka Naya Khadakpada | Premium 1 &amp; 2BHK Flats | The Green Sapphirre | Call 7021988393"/>
        <s v="Call 7021988393 | Badlapur ka Most Awaited Real Estate Project | Godrej Vihaa Badlapur"/>
        <s v="Dombivli Ka Shaandar Real Estate Project | Sunraj Solitaire Dombivli | Call 7021988393"/>
        <s v="Call 7021988393 | 1, 2 &amp; 3BHK Luxury Flats in Kalyan | Near Metro Mall Kalyan"/>
        <s v="Kapleshwara Residency Dombivli - Sample Flat &amp; Aerial View |7021988393 | 1BHK | 2BHK | New Video "/>
        <s v="Kapleshwara ResidencyDrone View | Spacious 1 &amp; 2 BHK Flats for Sale in Dombivli East near Station"/>
        <s v="Call 7021988393 | Dombivli East ka Bramhand | 1, 2 &amp; 3BHK Flats in Dombivli | Ira insignia"/>
        <s v="Call 7021988393 | Luxury Project by Godrej in Kalyan | 1 &amp; 2BHK Flats in Kalyan"/>
        <s v="Call 7021988393 | Affordable Luxury Flat in Badlapur | Mohan Alcoves Badlapur"/>
        <s v="Kalyan ka BIG BOSS - Krishna Trident|7021988393 | 1 &amp; 2 BHK Flat for Sale in Kalyan East"/>
        <s v="Call 7021988393 | Spacious Luxury 2BHK Flat in Kalyan | 2 BHK in Kalyan West Khadakpada"/>
        <s v="Kalyan East 1 BHKfor Sale | 7021988393 | Krishna Trident Flats for Sale in Kalyan East Property"/>
        <s v="Call 7021988393 | 2BHK Luxury Flat in Kalyan West | 2 BHK in Kalyan West Khadakpada"/>
        <s v="Call 7021988393 | 1BHK in 34 Lakh in Kalyan | Most Affordable Flat in Kalyan"/>
        <s v="Call 7021988393 | Badlapur Me 2BHK Flat Sirf 35Lac Se Shuru | 7min from Badlapur Railway Station"/>
        <s v="Call 7021988393 | 1BHK Under 42Lakh in Thakurli, Kalyan | Under Construction Projects in Kalyan"/>
        <s v="Call 7021988393 | 2BHK Luxury Flat in Kalyan | House of Hiranandani 2BHK Sample Flat Tour"/>
        <s v="Call 7021988393 | Luxurious Township in Kalyan | Affordable 1 &amp; 2BHK Flats in Kalyan"/>
        <s v="Luxury 2 &amp; 3 BHK |7021988393 | Shreeji Landmark | New Construction Project Kalyan West"/>
        <s v="Flat Starts From 43.99 Lacs* Onwards | Affordable Luxury Project in Kalyan | Call 7021988393"/>
        <s v="Call 7021988393 | 1BHK Premium Flat in Titwala at 17.5 Lakh | MHADA Approved | Site Visit Now!"/>
        <s v="1,2 BHK Flat Near Station‰| 7021988393 | Kohinoor Gardens Shahad | New Residential Property"/>
        <s v="Call 7021988393 | Kalyan Ka Sabse Premium aur Affordable Project | Samruddhi Heights Kalyan West"/>
        <s v="Shops for Sale “Thakurli |7021988393 | Best Commercial Property in Thakurli Mumbai | Metro Pride"/>
        <s v="Call 7021988393 | Inside a 3BHK Premium Flat at Tata Amantra, Kalyan | Ready to Move Luxury Homes"/>
        <s v="Best Office Space in Kalyan | 7021988393 | Kalyan Square | Commercial Property in Kalyan West"/>
        <s v="Rs.17.5 1BHK Flats| Mhada &amp; RERA Approved| 10 Min's from Station | Shubharambh Titwala East"/>
        <s v="7021988393 | Kalyan Wests Premier Residential Project - Mangeshi Valley | 1 &amp; 2 BHK Homes"/>
        <s v="Call 7021988393 | 2BHK Luxury Spacious Flat in Kalyan with Big Balcony | Mehta Altura Kalyan West"/>
        <s v="Call 7021988393 | Inside Rustomjee Dombivli's Spacious 3BHK Flat | Luxury Living Tour in 60 Seconds"/>
        <s v="Call 7021988393 | Step Inside Birla Vanya - Where Kalyan Experiences Luxury Like Never Before!"/>
        <s v="Call 7021988393 | 1 BHK Luxury Flat in Kalyan West | Sarvoday Marvel by Happy Homes"/>
        <s v="Call 7021988393 | 2BHK Flat Tour in Swaminarayan City Dombivli | Prime Location, Top Amenities"/>
        <s v="Call 7021988393 | 1BHK Ready to Move Flat in Kalyan West  | Biggest Carpet Flats | Sagar Homes"/>
        <s v="Call 7021988393 | 1 &amp; 2 BHK Luxury Flats in Kalyan West | Affordable Homes Near Durgadi Bridge"/>
        <s v="Call 7021988393 | Commercial Property for Sale in Dombivli | Globe Estate Next | Shops &amp; Offices"/>
        <s v="Call 7021988393 | 1BHK Premium Flat in Dombivli East | Anandi Imperial | Ready To Move Luxury Homes"/>
        <s v="Call 7021988393 | 1BHK Luxury Flats in Bhiwandi Near Metro | Siyara Fortune"/>
        <s v="Call 7021988393 | 1 &amp; 2 BHK Flats in Kalyan from 36 Lakh | THE LIVIN Near Durgadi Fort | Book Now!"/>
        <s v="Call7021988393 | 2 BHK Flats in Dombivli | Elite Galaxy | Sample Flat Video"/>
        <s v="Call 7021988393 | Luxury 2 BHK Flat Tour in Dombivli East | Regency Luxuria Price, Floor Plan"/>
        <s v="Call 7021988393 | Ornate Rise 2BHK Luxury Flat in Kalyan | Affordable Flats in Kalyan"/>
        <s v="Call 7021988393 | Industrial Gala for Sale in Kalyan | Asmeeta Texpa"/>
        <s v="Call 7021988393 | Ornate Rise 2BHK Sample Flat | 2 BHK Flat in Kalyan"/>
        <s v="1BHK Luxury Flat at Tharwani Vedant Nakshatra | Affordable &amp; Premium Living | Call 7021988393"/>
        <s v="Stunning 1BHK Sample Flat Tour | Codename Malabar Hill, Badlapur | Call 7021988393"/>
        <s v="Commercial Shop for Sale Near Me in Kalyan West at Neelkanth Shrushti | Call 7021988393 #shopforsale"/>
        <s v="Amber One Thakurli Real Estate Project | 2BHK Premium Flat in Thakurli | Call 7021988393"/>
        <s v="Affordable Flats in Thakurli | Balaji Govind 1BHK Sample Flat | Call 7021988393"/>
        <s v="Tharwani Palacia 2BHK Sample Flat | Luxury Project in Kalyan | Call 7021988393"/>
        <s v="Balaji Krishna 1BHK Flat | Affordable Flats in Thakurli | Call 7021988393"/>
        <s v="1BHK Ready to Move Flats in Kalyan West | Biggest Carpet at Affordable Price | Call 7021988393"/>
        <s v="Elite Galaxy Dombivli | Affordable 2BHK Homes in Dombivli | Explore Sample Flat | Call 7021988393"/>
        <s v="Mehta Altura Kalyan West | 2BHk Sample Spacious Flat in Kalyan | Call 7021988393"/>
        <s v="Biggest Carpet at Affordable Price | Sagar Homes Kalyan 2BHK Sample Flat | Call 7021988393"/>
        <s v="Best Real Estate Project in Dombivli | Kohinoor Highland Garden and Entrance Tour | Call 7021988393"/>
        <s v="The Tallest Residential Tower in Kalyan | Krishna Trident Project Model | Call 7021988393"/>
        <s v="Swaminarayan City Dombivli | Luxury 1 &amp; 2 BHK Flats with Top Amenities | Call 7021988393"/>
        <s v="1BHK Affordable Flat in Thakurli | Best Home Under 40 Lakh | Balaji Kanha | Call 7021988393 #shorts"/>
        <s v="2BHK Luxury Flat in Dombivli | Vastu Luxuria | Premium Living with 40+ Amenities | Call 7021988393"/>
        <s v="Affordable 1 &amp; 2 BHK Flats in Kalyan | Magus City Kalyan | RERA Approved Township | Call 7021988393"/>
        <s v="Spacious Homes in Dombivli | Sunraj Solitaire | 1 BHK Luxury Flat Tour | Call 7021988393 #dombivli"/>
        <s v="2BHK Luxury Sample Flat Tour at Triveni Pearl | Premium Living in Kalyan West | Call 7021988393"/>
        <s v="Affordable 2BHK Homes in Dombivli | Elite Galaxy Dombivli | Explore Sample Flat |Call 7021988393"/>
        <s v="New Launch Dombivli East | 1, 2 &amp; 3 BHK Flats | Rustomjee Urban Woods | 47 Lacs* | Call 7021988393"/>
        <s v="How to Identify Real vs Fake Real Estate Projects in India? | RERA Explained | Call 7021988393"/>
        <s v="Swaminarayan City Dombivli | Luxury Projects in Mumbai | 1&amp;2BHK Flats in Dombivli | Call 7021988393"/>
        <s v="Elite Galaxy Dombivli | Elite Galaxy Sample Flat | Budget 2BHK Flats in Dombivli | Call 7021988393"/>
        <s v="Affordable Flats in Kalyan | Ritz Vikas Sample Flat | Flats with Best Connectivity | Call 7021988393"/>
        <s v="Best Budget Projects in Kalyan | Top Projects in Kalyan | Kalyan Vihar Sample Flat | Call 7021988393"/>
        <s v="Krishna Trident Kalyan East | 2BHK Luxury Flats | Tallest Tower with Top Amenities | Call 7021988393"/>
        <s v="Metro Grande Kalyan 3BHK Sample Flat Tour | Luxury Project Near Metro Mall Kalyan | Call 7021988393"/>
        <s v="Krishna Trident Kalyan | 1 &amp; 2BHK Luxury Residences in Kalyan | Kalyan Ka Big Boss | Call 7021988393"/>
        <s v="Luxury 2 BHK Flats in Dombivli East | Balaji Classica by SS LifeSpaces | Call 7021988393"/>
        <s v="Metro Pride 2BHK Sample Flat | 5Min from Thakurli, 10Min from Dombivli | Call 7021988393 #shorts"/>
        <s v="Metro Luxuria Thakurli | Affordable 2BHK Flat in Thakurli | Call 7021988393"/>
        <s v="Metro Pride Project Model | 1 &amp; 2BHK Flats 5Min from Thakurli, 10Min from Dombivli | Call 7021988393"/>
        <s v="Premium 1 BHK, 2 BHK Flats Kalyan East | Sonawane Group Property | Krishna Trident | Call 7021988393"/>
        <s v="Luxury 1 BHK &amp; 2 BHK Flats in Kalyan East | Krishna Ultima by Sonawane Group | Call 7021988393"/>
        <s v="Metro Pride Thakurli | 1 BHK Flat Tour | 5Min from Thakurli, 10Min from Dombivli | Call 7021988393"/>
        <s v="Sagar Homes Kalyan | 2BHK Flat with Balcony | Biggest Carpet at Affordable Price | Call 7021988393"/>
        <s v="Magus City Kalyan | 1 &amp; 2 BHK Under Construction Luxurious Flats in Kalyan | Call 7021988393"/>
        <s v="Metro Luxuria Thakurli | Affordable 2 BHK Flat in Kalyan | Luxury Homes in Thane | Call 7021988393"/>
        <s v="Birla Vanya Clubhouse Tour | Experience Luxury Lifestyle in Kalyan!Call 7021988393 #shorts #luxury"/>
        <s v="Metro Pride Thakurli | 1 BHK Sample Flat Tour | Modern &amp; Spacious Apartment | Call 7021988393"/>
        <s v="Kohinoor Highland Dombivli | Luxury Clubhouse Tour | 35+ World-Class Amenities | Call 7021988393"/>
        <s v="Tharwani Vedant Millenia Clubhouse Tour in 1Minute | Tharwani Titwala | Call 7021988393 #shorts"/>
        <s v="Godrej Vihaa Badlapur Project Model | 1 &amp; 2 BHK Flats for Sale in Badlapur | Call 7021988393"/>
        <s v="Mohan Alcoves Badlapur Project Model | 1 &amp; 2 BHK Premium Homes in Badlapur | Call 7021988393"/>
        <s v="Codename Malabar Hill Badlapur 2BHK Sample Flat | Kendale Developers | Call 7021988393"/>
        <s v="Tharwani Vedant Nakshatra | 2 BHK Flat in Badlapur West Near Station | Call 7021988393"/>
        <s v="Spacious 2BHK Sample Flat Tour | Tulsi Aawas Badlapur | Raj Group | Call 7021988393"/>
        <s v="Tata Amantra Clubhouse Tour | 2 &amp; 3BHK Luxury Flats in Kalyan | Call 7021988393"/>
        <s v="Tharwani Vedant Millenia 1 BHK Sample Flat | Smart &amp; Spacious Home Tour in Titwala | Call 7021988393"/>
        <s v="A1 Living Titwala | Premium 1BHK Sample Flat Tour | Budget 1BHK Flat in Titwala | Call 7021988393"/>
        <s v="Tulsi Aawas Badlapur | Premium 2BHK Sample Flat Tour | Raj Group - Luxury Living | Call 7021988393"/>
        <s v="Codename Malabar Hill Badlapur | Luxury 2BHK Sample Flat Tour | Kendale Developers | Call 7021988393"/>
        <s v="Sai Mauli Titwala | Spacious 2BHK Sample Flat Tour | Near Ganpati Mandir &amp; Station | Call 7021988393"/>
        <s v="Godrej Vihaa Badlapur | Luxury 1BHK Sample Flat Tour | Call 7021988393"/>
        <s v="Godrej Vihaa Sky Garden Badlapur | Luxury 1BHK Sample Flat Tour | Call 7021988393"/>
        <s v="1 BHK Flat in Titwala | starts 17.5 Lakhs | Shubharambh | Flat for Sale in Titwala | New Property"/>
        <s v="Shubharambh Titwala 1BHK Sample Flat Tour | Budget Friendly Flats in Titwala | Call 7021988393"/>
        <s v="Sai Mauli Titwala | Stunning 1BHK Sample Flat Tour | Call 7021988393"/>
        <s v="Mangeshi Jupiter 2BHK Sample Flat Tour | Affordable Luxury Project in Kalyan | Call 7021988393"/>
        <s v="Rustagi Aarambha | Luxury 1 BHK &amp; 2 BHK Flats Titwala East | Affordable Housing |Call 7021988393"/>
        <s v="Shubharambh Titwala | Premium 1 BHK Sample Flat Tour | Best Investment in Titwala | Call 7021988393"/>
        <s v="Tharwani Vedant Millenia 2BHK Spacious Flat | Near Titwala Ganpati Mandir | Call 7021988393"/>
        <s v="Sai Mauli Titwala | Premium 1BHK Sample Flat Tour | Call 7021988393 #gharjunction #ttitwala"/>
        <s v="Tharwani Majestic Tower 2BHK Sample Flat Tour | Call 7021988393 #gharjunction #kalyan #shorts"/>
        <s v="Mohan Alcoves Badlapur | 1 BHK Flats Starting at 28.5 L | Investment Opportunity | Call 7021988393"/>
        <s v="TATA Amantra 2BHK Sample Flat Tour | Call 7021988393 #realestate #gharjunction #shorts"/>
        <s v="Inside Tharwani Majestic Towers Kalyan | Luxury 2BHK Sample Flat Tour | Call 7021988393"/>
        <s v="Rustomjee Dombivli New Launch | Upcoming Project in Dombivli | Call 7021988393 #gharjunction"/>
        <s v="Rustomjee Dombivli | 1, 2 &amp; 3BHK Luxury Homes with Premium Amenities | Call 7021988393"/>
        <s v="Luxury 2BHK Sample Flat Tour | Shreeji Landmark Kalyan West | Dream Home Awaits! | Call 7021988393"/>
        <s v="Birla Vanya Clubhouse Tour | Experience Luxury &amp; Lifestyle in Kalyan | Call 7021988393"/>
        <s v=" Rustomjee Dombivli Luxury Living with 1, 2 &amp; 3 BHK Flats! € | Call 7021988393 #gharjunction"/>
        <s v="Mohan Alcoves Badlapur | Stunning 2BHK Sample Flat Tour | Call 7021988393 #gharjunction #badlapur"/>
        <s v="Inside Tata Amantra Kalyan West | Luxury 3BHK Sample Flat Tour | Call 7021988393"/>
        <s v="Tharwani Badlapur West Project| Tharwani Vedant Nakshatra | Badlapur Property Rates Near Station"/>
        <s v="Mohan Alcoves Badlapur | Inside Tour of Luxurious 2BHK Sample Flat | Call 7021988393"/>
        <s v="Explore Luxury 2BHK Sample Flat at Shreeji Landmark | Your Dream Home in Kalyan | Call 7021988393"/>
        <s v="3 Min's from Railway Station | 1 &amp; 2 BHK Flats in Shahad | Kohinoor Garden Shahad"/>
        <s v="Luxury 2, 3, 4 &amp; 5 BHK Flats in Kalyan | Chavan Advaitam | House Of Chavan | Call 7021988393"/>
        <s v="White Square Kalyan | Luxury 2, 3 &amp; 4 BHK Flats | New Project Near Kala Talao | Call 7021988393"/>
        <s v="Tharwani Vedant Millenia 1 BHK Sample Flat | Spacious &amp; Affordable Flat in Titwala | Call 7021988393"/>
        <s v="Tharwani Vedant Millenia Clubhouse Tour | 30+ Luxury Amenities | Tharwani Titwala | Call 7021988393"/>
        <s v="Arihant Aaradhya Kalyan | 2 BHK Sample Flat Tour | Call 7021988393 #gharjunction #kalyan"/>
        <s v="Arihant Aaradhya Kalyan | 1 BHK Sample Flat Tour | Modern &amp; Spacious Design | Call 7021988393"/>
        <s v="House of Hiranandani 2BHK Sample Flat | Luxury Budget Flats in Kalyan | Call 7021988393"/>
        <s v="Rustomjee Dombivli Launching 1 &amp; 2 BHK | Call 7021988393"/>
        <s v="Rustomjee Dombivli New Project | Luxury 1, 2, 3BHK Flats | Call 7021988393 #gharjunction #rustomjee"/>
        <s v="Arihant City Kalyan | Spacious 2 BHK Flats | Starting from 63 Lacs | Call 7021988393 #gharjunction"/>
        <s v="LM Tower | Ready To Move 1 &amp; 2 BHK Flats | Affordable Luxury Homes in Kalyan | Call 7021988393"/>
        <s v="1 BHK Flat for Sale in Badlapur | Near Badlapur Railway Station | Vedant Nakshatra | Call 7021988393"/>
        <s v="Samruddhi Heights Kalyan | Premium 1 RK, 1 &amp; 2 BHK Flats for Sale | Call 7021988393"/>
        <s v="Spacious 2 BHK Flats at Samruddhi Heights Kalyan | Affordable with Good Amenities | Call 7021988393"/>
        <s v="Affordable Flats in Kalyan| 1 BHK Flat for Sale | Low Budget Flats in Kalyan | Call 7021988393"/>
        <s v="CREDAI MCHI Kalyan Dombivli Exhibition 2025 | Dream Homes from 20 Lakhs | Call 7021988393 #kdmc"/>
        <s v="Tata Amantra Kalyan | Luxury Project in Kalyan with Top Amenities | Call 7021988393 #gharjunction"/>
        <s v="Discover Kohinoor Uptown Kalyan West | 1 &amp; 2 BHK Flats with Premium Amenities | Call 7021988393"/>
        <s v="Ready to Move Flats in Kalyan West | Tata Amantra 2 BHK | Tata Housing Amantra Bhiwandi Maharashtra"/>
        <s v="Kohinoor Uptown Kalyan West | 1 &amp; 2 BHK Balcony Homes | Affordable Luxury Flats | Call 7021988393"/>
        <s v="Spacious 1 &amp; 2 BHK Homes in Kalyan | Siyara Dham by Shakti Group | Call 7021988393 #realestate"/>
        <s v="3 BHK Flat In Kalyan West | 3 BHK Flat Near D-Mart #dreamavalon"/>
        <s v="1 BHK Sample Flat Tour | Godrej Riviera Kalyan | Call 7021988393 | Call 7021988393"/>
        <s v="3 bhk Flat in Kalyan West | Maatr Skye Kalyan | Call 7021988393"/>
        <s v="2 BHK Sample Flat Tour | Godrej Riviera Kalyan | Call 7021988393 #gharjunction #realestate #kalyan"/>
        <s v="Godrej Riviera Kalyan | Lush Greenery &amp; Riverside Bliss | #gharjunction #kalyan #realestate #shorts"/>
        <s v="Godrej Riviera Kalyan | Luxury 1 &amp; 2 BHK Riverside Homes Surrounded by Nature | Call 7021988393"/>
        <s v="Arihant World Villas Karjat | Luxury 3 &amp; 4 BHK Villas  Township Project | Call 7021988393"/>
        <s v="New project in kalyan | Kohinoor Uptown Project Near D-Mart"/>
        <s v="Explore Balaji Aqua 3BHK Sample Flat | Luxury Living in Khadakpada Kalyan West | Call 7021988393"/>
        <s v="Kalyan Luxury 1,2 &amp; 3 BHK Apartment| Ritz Life Vikas Developers | Price, Location, Project Review"/>
        <s v="Balaji Aqua Khadakpada, Kalyan | Project Model by Balaji World | Call 7021988393 #BalajiAqua #Kalyan"/>
        <s v="Elite Galaxy Dombivli East | 1 BHK, 2 BHK Flats Dombivli | Fully Furnished Home | Call 7021988393"/>
        <s v="Davakhar Sereno Kalyan | 1 &amp; 2 BHK Flats Starting at 25 Lacs* | Davakhar Sereno | 7021988393"/>
        <s v="Runwal Garden Dombivali | 1, 2, 3 &amp; 4 BHK Start @ 38 Lacs* | Zero Stamp Duty | Call 7021988393"/>
        <s v="Affordable 1,2 &amp; 3 BHK Flats for Sale| Davakhar Sereno Kalyan | Sample Flat Video"/>
        <s v="Chavan Advaitam Sample Flat |¨Luxury 2 &amp; 3 BHK | House of Chavan Kalyan New Project | 7021988393"/>
        <s v="Venus Skky City Dombivli | 1 &amp; 2 BHK Deck Homes | Sample Flat &amp; Reviews | Call 7021988393"/>
        <s v="Nirvana Gardens Kalyan | 1 bhk at 46 Lakhs! | Call 7021988393"/>
        <s v="Kohinoor Eden Kalyan | 1 &amp; 2 BHK Flats Starting at 32 Lacs* | Kalyan East"/>
        <s v="A1 Living Titwala | 1 BHK Flat Starting from 24.24 Lacs | Ready To Move | Call 7021988393"/>
        <s v="Kohinoor Prime Shahad | 1 &amp; 2 BHK Flats starting @ 35Lacs* | Call 7021988393"/>
        <s v="Sai World Legend Ulhasnagar | Luxurious 2,3 &amp; 4 BHK Flat in Shahad Kalyan Nx | Call 7021988393"/>
        <s v="Nirvana Gardens Kalyan | 1, 2 and 3 BHK starting from just 46 Lakhs! | Call 7021988393"/>
        <s v="Sai World Dreams Dombivli | Sample Flat | Sai Paradise Dombivli | 1, 2, 2.5 &amp; 3 BHK Luxury Home Tour"/>
        <s v="Fully Furnished | 1BHK, 2BHK | Don't Miss | Elite Galaxy Dombivli New Project"/>
        <s v="Luxury 1BHK, 2BHK Flat for Sale in Dombivli | Laukik Vastu Luxuria Dombivli | Price &amp; Review"/>
        <s v="Elite Galaxy Dombivli | Fully Furnished 1 &amp; 2 BHK Flat for Sale in Dombivli | Call 7021988393"/>
        <s v="1 BHK Flat in Titwala New construction | Sai Mauli | 1 &amp; 2 Bhk Flats @ 23.20 Lacs | 7021988393"/>
        <s v="Shubharambh Titwala | Affordable 1 BHK at Just 17.50 Lakhs All-Inclusive! | 7021988393"/>
        <s v="Shubharambh | Titwala | Affordable 1 BHK at Just 17.50 Lakhs All-Inclusive! | 7021988393"/>
        <s v="Godrej Riviera Kalyan | Luxurious 1 &amp; 2 BHK Flats in Ambivali | Sample Flat Tour &amp; Floor Plans"/>
        <s v="Balaji Vishant Dombivli | Balaji Vishant Balaji Projects in Dombivli | 1 &amp; 2BHK Flats in Dombivli"/>
        <s v="Nature Vista Kalyan| Affordable Luxurious Flats in kalyan East | World Class Modern Amenities"/>
        <s v="1 BHK FLAT NEAR DMART | Flats in Dombivli East | New Construction Project in Dombivli"/>
        <s v="Godrej Vihaa Badlapur 2 BHK price | Best Flats in Badlapur | Godrej Properties | Call 7021988393"/>
        <s v="2BHK Flats in Kalyan For Sale | Best Flats In Kalyan West | Ready To Move | Call 7021988393"/>
        <s v="Flats in Kalyan Below 25 Lakhs| Starting Just 19.99 lakh | 2 Bhk Flat in Kalyan Near Station"/>
        <s v="2 Bhk Flats Under 35 Lakhs in Kalyan West | Projects in Kalyan West | Low Budget Flats Under 35 Lakh"/>
        <s v="2 bhk Flat in Kalyan West Rambaug| 2 bhk Flats in Kalyan West Near Station | Call 7021988393"/>
        <s v="1 BHK Flat in Kalyan Below 20 lakhs | Low Budget Flat in Kalyan West | Sample Flats, Call 7021988393"/>
        <s v="1BHK in Dombivli For Urgent Sale..! | Best luxurious Flats #realestate #gharjunction"/>
        <s v="Kohinoor Highland Dombivli| Dombivli 1 BHK, 2 BHK Flats for Sale | Project Review | 7021988393"/>
        <s v="Regency Sarvam Titwala | 1&amp; 2 BHK Flat in Titwala | Call 7021988393"/>
        <s v="A1 Living Titwala| 1 &amp; 2 BHK Flat for Sale in Titwala 5 Min's near Station | Call 7021988393"/>
        <s v="Top 5 Ready to Move Property| 1 &amp; 2 BHK Flats in Kalyan | New Projects in Kalyan | 7021988393"/>
        <s v="Haware Kalyan 1 &amp; 2 BHK Flat for Sale | Project Review | Haware My First Homes Muthaval | 7021988393"/>
        <s v="Regency Anantam NXT | Magic Phir Se | 1/2 BHK Apartment at Dombivli East | Regency Group New Launch"/>
        <s v="Tisai Heights Kalyan East | 1BHK, 2BHK Flat | New Project by Sai Raj Group | Price, Location, Review"/>
        <s v="Kohinoor Prime Shahad | 1BHK ,2BHK | Sample Flat | 2 Mins From Shahad Station"/>
        <s v="Seasons Green Kalyan West | 1BHK | 2BHK | Flat for Sale in Kalyan | Project Review |7021988393"/>
        <s v="Low Budget Flats In Kalyan | 1 BHK Flat For Sale In Kalyan Near Station | Call 7021988393"/>
        <s v="Ready To Move Flats In Ambernath |1 BHK Flats In Ambernath | Low Cost Flat For Sale In Ambernath"/>
        <s v="Most Luxury Project in Kalyan West | Mohan Altezza 2, 3 &amp; 4 BHK Apartment | Call 7021988393"/>
        <s v="Riverwood Park Codename Thia | 1 &amp; 2 BHK Flat for Sale | Shilphata, Dombivli East | Call 7021988393"/>
        <s v="Arihant Kalyan New Launch Beachfront Project | Arihant Aaradhya 1 &amp; 2 BHK Flat in Kalyan West"/>
        <s v="Tata Amantra | Ready to Move | Fully Furnished | 2 BHK | 3 BHK | Flats for Sale | Bhiwandi | Kalyan"/>
        <s v="1 BHK | 2 BHK | Ready to Move | Ready Possession | Flats in Kalyan | Flat for Sale in Kalyan"/>
        <s v="Hiranadani Kalyan | Hiranandani Woodspring Kalyan | 1 BHK | 2 BHK | Price, Tour | Call 7021988393"/>
        <s v="Swaminarayan City Dombivli West | 1/2/3 BHK Flats for Sale | New Construction Property | 7021988393"/>
        <s v="L M Tower Bhiwandi | Flat For Sale In Bhiwandi | 1 BHK | 2 BHK | Sample Flat | Price, 7021988393"/>
        <s v="Hiranandani Kalyan 1 BHK Sample Flat Video | Hiranandani Woodspring Kalyan | Sample Flat, 7021988393"/>
        <s v="Hiranadani Kalyan 2 BHK Sample Flat Video | Hiranandani Woodspring Kalyan | Sample Flat, 7021988393"/>
        <s v="L M Tower Bhiwandi | 1 BHK | 2 BHK | Flat For Sale In Bhiwandi | Tour, Price | 7021988393"/>
        <s v="1 BHK Deck Apartment For Sale In Dombivli | 1 BHK Flat In Dombivli | Call 7021988393 For Visit"/>
        <s v="Vikas Ritz Kalyan West | Ritz Vikas Kalyan West | 1 BHK | 2 BHK | 3 BHK | 7021988393"/>
        <s v="1,2 &amp; 3 BHK Flat for Sale in Dombivli | New Construction Project | Flat Price, Location | 7021988393"/>
        <s v="Godrej Riviera | Godrej Riviera Kalyan Sample Flat | 1 BHK &amp; 2 BHK Flat Tour | Price | Reviews"/>
        <s v="Mangeshi Trinity Kalyan | Mangeshi Trinity Kalyan West | Mangeshi Tulip | 1 BHK | 2 BHK | 7021988393"/>
        <s v="Hiranandani Kalyan | Hiranandani Woodspring Kalyan | House Of Hiranandani Kalyan | Project Tour"/>
        <s v="Vikas Ritz Kalyan West | Ritz Vikas Kalyan West | 1/2/3 BHK Flat | Sample Flat Video | 7021988393"/>
        <s v="Saket World Kalyan East | 1 BHK, 3 BHK &amp; Duplex Deck Residences For Sale | | Sample Flat Tour"/>
        <s v="Sai World Dreams Dombivli 1/2/3 BHK Tour | Dubai Theme | Review , Floor Plan &amp; Price | 7021988393"/>
        <s v="Venus Skky City Dombivli East | 1 &amp; 2 BHK Deck Homes In Dombivli Near Dmart | Call 7021988393"/>
        <s v="Nearing Possession 1 BHK &amp; 2 BHK Flats For Sale | Rai Tulip Kalyan East | Call 7021988393"/>
        <s v="Kalyan City Mumbai | Everything About Kalyan City | Share With All Kalyankar | Tour"/>
        <s v="1 BHK Urgent!!!| Carpet 484 Sq. Ft | Call 7021988393 For Free Site Visit"/>
        <s v="1 Bhk Flat For Sale In Dombivli Near Dmart | Actual Sample Flat | Call 7021988393"/>
        <s v="Swaminarayan City Dombivli West | 1, 2 &amp; 3 BHK Flat | Review, Price, Sample Flat, Call 7021988393"/>
        <s v="Seasons Sahara Kalyan East | 2 BHK Sample Flat with Balcony | New Construction Project near Station"/>
        <s v="2 Bhk Flat In Kalyan For Sale | 2 Bhk Flat For Sale In Kalyan West | Sample Flat | 7021988393"/>
        <s v="Ready To Move 1 BHK Flat For Sale In Kalyan | Sarvoday Onyx Kalyan West | Call 7021988393"/>
        <s v="1 Bhk Flat For Sale In Dombivli | Flat For Sale In Dombivli | Sample Flat | 7021988393"/>
        <s v="1 BHK  Flat For Sale In Dombivli Near Dmart | Show Flat | 7021988393 For Free Site Visit"/>
        <s v="2 BHK Flat In Kalyan West | 2 BHK Flat For Sale In Kalyan | Sample Flat | Call 7021988393"/>
        <s v="Luxurious 3 Bhk Flat For Sale In Kalyan West | 3 Bhk Flat In Kalyan | Call 7021988393"/>
        <s v="Kalyan Vihar Kalyan West | 1 Bhk Flat For Sale In Kalyan | Flat In Kalyan Near Station | 7021988393"/>
        <s v="Arihant Aaradhya Kalyan | 1 Bhk Flats For Sale In Kalyan | 2 Bhk Flats For Sale In Kalyan 7021988393"/>
        <s v="1 BHK | Flower Valley | New Construction 1 &amp; 2 BHK Apartment"/>
        <s v="Luxurious 2 BHK Flat For Sale In Kalyan West | 25+ Amenities | Sample Flat | Call 7021988393"/>
        <s v="Kohinoor Eden | Cheap 1 BHK Flat in Kalyan East"/>
        <s v="Swaminarayan City | 7021988393"/>
        <s v="1 BHK Flats Rera Registered"/>
        <s v="Metro Paramount | 2 BHK Flat Home Tour | Thane Shilphata Project | For Site Visit Call 7021988393"/>
        <s v="Low Cost Flat For Sale In Kalyan West | Top 5 Property Projects In Kalyan | 1 Bhk,2 Bhk | 7021988393"/>
        <s v="Empire Residency Kalyan | Underconstruction Project in Kalyan East | Sample Flat | Call 7021988393"/>
        <s v="1 Bhk Flat In Kalyan East | Flat In Kalyan East | Empire Residency Kalyan | Call 7021988393"/>
        <s v="Office Space for Sale in Vikhroli Mumbai | Lodha Codename Rare Fortune | Best Commercial Property"/>
        <s v="Birla Vanya Kalyan | Flat for Sale in Kalyan Near Station | 1/2/3/4 BHK | Sample Flat | 7021988393"/>
        <s v="Regency Sarvam Titwala | 1 BHK Flat for Sale in Titwala East |Flat for sale in Titwala | 7021988393"/>
        <s v="Mohan Group  New Launch In Ambernath | Flats in Ambernath near Station | 1 &amp; 2 BHK | 7021988393"/>
        <s v="1 &amp; 2 BHK Terrace Flats | Saket World Kalyan East | Review | 2 Bhk Sample Flat | Call 7021988393"/>
        <s v="Vedant Palacia a Project by Tharwani Infrastructures | Luxurious 2 &amp; 3 BHK at Khadakpada |7021988393"/>
        <s v="Ready To Move 1 &amp; 2 Bhk Flat For Sale In Kalyan West Near Station | Kailash Homes | Call 7021988393"/>
        <s v="1 Bhk 29.95 Lacs* | Regency Sarvam Titwala East | Short Project Tour | Call 7021988393"/>
        <s v="Swaminarayan City Dombivali West | 7021988393"/>
        <s v="Kohinoor Eden Kalyan East New Construction | Luxurious 1 &amp; 2 BHK Flats For Sale | Call 7021988393"/>
        <s v="Ready To Move 1 &amp; 2 Bhk Flats For Sale In Kalyan West | Kalyan Nagari | Call 7021988393 For Booking"/>
        <s v="1 RK 21 LACS &amp; 1 BHK 25 LACS AT KALYAN WEST | MAGUS CITY | BOOK NOW | CALL 7021988393"/>
        <s v="Om Sai Home Bhiwandi | 1 BHK Sample Flat | Kalyan Bhiwandi Bypass | Project Price, Location"/>
        <s v="Regency Sarvam Titwala East | Short Project Tour | 1 &amp; 2 BHK Flats | Call 7021988393"/>
        <s v="Flats for Sale in Bhiwandi | Top 5 Projects | 1 &amp; 2 BHK | New Construction | Bhiwandi Flat Price"/>
        <s v="Siddha Sky Wadala Mumbai | Review Location Price Floor Plan rera address Possession | Ghar Junction"/>
        <s v="Asmeeta Textile Park by Asmeeta Texpa at Bhiwandi Kalyan"/>
        <s v="Regency Sarvam Titwala East | Sample Flat, Price, Address, Review | Ghar Junction | 7021988393"/>
        <s v="Mahindra Happinest Kalyan | 1 &amp; 2 BHK Flats at Bhiwandi-Kalyan Corridor"/>
      </sharedItems>
    </cacheField>
    <cacheField name="Short Video Title" numFmtId="0">
      <sharedItems count="481">
        <s v="Kohinoor Eden Kalyan East | 1BHK Sample "/>
        <s v="Davkhar Sereno Kalyan East | 2BHK Show F"/>
        <s v="1 BHK Flat in Kalyan West Khadakpada | S"/>
        <s v="Luxury 2 BHK Flat for Sale in Kalyan Wes"/>
        <s v="Shubharambh Titwala 1 BHK Show Flat Tour"/>
        <s v="2 BHK Flat for Sale in Dombivli East | L"/>
        <s v="Kohinoor Gardens Shahad | 1 BHK Flat for"/>
        <s v="Dream Atlantis Kalyan West | 3BHK Sample"/>
        <s v="YSquare Thane 2BHK Show Flat Tour | Prem"/>
        <s v="Mountain Greens 1 BHK Flat for Sale in K"/>
        <s v="Godrej Exquisite Thane | 3 BHK Show Flat"/>
        <s v="Barku Heights Flats for Sale | 1 BHK Hom"/>
        <s v="Vihang Infinity Thane | 1 &amp; 2 BHK Sample"/>
        <s v="Sai Altezza Kalyan East | Premium 2 BHK "/>
        <s v="2 BHK Flat for Sale in Kalyan West | Cha"/>
        <s v="Saket Ayodhya City (Kalyan E) | 2BHK Fro"/>
        <s v="Sahyadri Elite Kalyan East 1 BHK Flat fo"/>
        <s v="Marathe Tower Titwala | Marathe Tower 2 "/>
        <s v="Tulip Heights Kalyan | Spacious 2 BHK Fl"/>
        <s v="Atlanta Avadh Shahad | 1 &amp; 2BHK Flats in"/>
        <s v="1 &amp; 2 BHK Flat in Kalyan | Best Property"/>
        <s v="1BHK Flat Starting From 20Lacs Only | Ha"/>
        <s v="Kalpataru Park City Kolshet Road Thane W"/>
        <s v="Desai Celeste Kalyan West | Luxurious 2 "/>
        <s v="Purva Panorama Thane | 2BHK Luxurious Sh"/>
        <s v="7021988393 | Kalyan West 1 &amp; 2 BHK Fla"/>
        <s v="5BHK with Biggest Balcony in Kalyan West"/>
        <s v="Kalyan West 1 BHK Flat | Arihant Aaradhy"/>
        <s v="Kalyan West 1 BHK Flat Low Price | Hawar"/>
        <s v="Dosti West County Thane West | 2BHK Samp"/>
        <s v="Balaji Sarvoday Thakurli 2 BHK Sample Fl"/>
        <s v="Kohinoor Eden Kalyan East | 1 &amp; 2 BHK Sa"/>
        <s v="Heaven Enclave Kalyan West | 2 &amp; 3 BHK "/>
        <s v="Kalyan West 2 BHK Flat For Sale | Latest"/>
        <s v="Veer Hills Thane West Project | 1 &amp; 2 BH"/>
        <s v="Mega Pearl Titwala | 1BHK Actual Flat To"/>
        <s v="Atlanta Avadh Shahad 7021988393 1 &amp; 2 "/>
        <s v="Piramal Vaikunth Thane | 1 &amp; 2 BHK Flat "/>
        <s v="1 BHK Flat for Sale in Kalyan East | Kal"/>
        <s v="Kohinoor Anaya Ulhasnagar | Project Mode"/>
        <s v="Thane West 1 BHK Flat | Thane 1 BHK flat"/>
        <s v="Saket Ayodhya City Kalyan East | Saket N"/>
        <s v="2 BHK Flat in Dombivli East | 2 BHK Flat"/>
        <s v="Call 7021988393 | Waah Taj Kalyan West |"/>
        <s v="Call 7021988393 | Rai Galaxy Kalyan East"/>
        <s v="2 BHK Flat for Sale in Kalyan East | 2 B"/>
        <s v="Call 7021988393 | Sahyadri Elite 1BHk Sa"/>
        <s v="1 &amp; 2 BHK Flats in Thakurli | Full Proje"/>
        <s v="Call 7021988393 | 3BHK Luxury Flat in Ka"/>
        <s v="Call 7021988393 | Kohinoor Eden Kalyan E"/>
        <s v="Premium 2.5 BHK in Sai World Dreams Domb"/>
        <s v="Call 7021988393 | Sai World Dreams Dombi"/>
        <s v="7021988393Atlanta Avadh Shahad - 1 &amp; 2"/>
        <s v="Rusttagi Aarambha 1 BHK Flat for Sale in"/>
        <s v="1 BHK Flat for Sale | Saket Nature Vista"/>
        <s v="Near Station 1BHK Flat | Limited Flats "/>
        <s v="Spacious 2 BHK Homes in Kalyan West | Sa"/>
        <s v="1BHK @45.99 Lakhs… 2BHK @65.66 Lakhs “T"/>
        <s v="Live Dubai Life in Dombivli | Sai World "/>
        <s v="Call 7021988393 | 1BHK Spacious Home in "/>
        <s v="Luxury 2 BHK in Kalyan West | Palika Jun"/>
        <s v="7021988393 | Ready &amp; Affordable 1 &amp; 2 B"/>
        <s v="Kalyan‚ Urgent 2BHK Flat Call 70219883"/>
        <s v="70219883931/2 BHK Next to UMC Garden |"/>
        <s v="Call 7021988393 | Piramal Vaikunth Thane"/>
        <s v="Shahad 1 &amp; 2 BHK 37.26 Lakhs 7021988393"/>
        <s v="Call 7021988393 | Raunak Maximum City Th"/>
        <s v="7021988393Ready to Move 2 BHK 45.99 La"/>
        <s v="70219883931 &amp; 2 BHK BHK starts @37.26"/>
        <s v="70219883932 MIN from Station - 1/2 BHK"/>
        <s v="Call 7021988393 | Spacious 1BHK Flat in "/>
        <s v="Call 7021988393 | Seasons Green Kalyan W"/>
        <s v="Seasons Green 1 &amp; 2 BHK Starting 39.99L "/>
        <s v="Metro Pride, Thakurli Premium 1 &amp; 2 BHK "/>
        <s v="1 &amp; 2 BHK Flats in Dombivli | Anandi Imp"/>
        <s v="Piramal Vaikunth Thane 1.5 BHK Home Tour"/>
        <s v="Call 7021988393 | Ghar Mela 2.0 | New Ho"/>
        <s v="Call 7021988393 | Kalyan Elite Kalyan We"/>
        <s v="Kohinoor Eden Kalyan East | 1 &amp; 2BHK Sam"/>
        <s v="Call 7021988393 | Kohinoor Gardens Shaha"/>
        <s v="Call 7021988393 | Yashraj Paradise Kalya"/>
        <s v="Saket Ayodhya City Kalyan | 1 &amp; 2 BHK Lu"/>
        <s v="Kalyan East 1 BHK Flats for Sale | Sai A"/>
        <s v="Call 7021988393 | Peaceful Society in Ka"/>
        <s v="2 BHK Flat for Sale in Kalyan East | Pre"/>
        <s v="Waah Taj Kalyan West | Kongaons New Prem"/>
        <s v="Call 7021988393 | Birla Vanya 4BHK Luxur"/>
        <s v="Spacious 2 BHK Flat For Sale Kalyan | Ch"/>
        <s v="Sunraj Solitaire Dombivli | Spacious 2 B"/>
        <s v="Call 7021988393 | Metro Pride Thakurli w"/>
        <s v="Kohinoor Gardens Shahad | 1 &amp; 2 BHK Flat"/>
        <s v="Marathe New Project Titwala | Spacious 1"/>
        <s v="Call 7021988393 | Ira Insignia Dombivli "/>
        <s v="Metro Pride Thakurli | 1 &amp; 2BHK Flats Re"/>
        <s v="Call 7021988393 | Mangeshi World 2BHK Fl"/>
        <s v="2 BHK Modern Flats Shahad | Kohinoor Gar"/>
        <s v="Premium 2BHK Flats for Sale | Palika Jun"/>
        <s v="Call 7021988393 | Manokamana Kalyan West"/>
        <s v="Raunak Earth Park Kalyan West | Afforda"/>
        <s v="Call 7021988393 | Ultra Luxurious Premiu"/>
        <s v="Call 7021988393 | Tata Amantra 2BHK Samp"/>
        <s v="Lodha Palava 4 BHK Ultra Luxury Flat For"/>
        <s v="Lodha Hanging Gardens Palava | 3 &amp; 4 BHK"/>
        <s v="Luxury 2 BHK Flats in JP Anant Kalyan We"/>
        <s v="Call 7021988393 | Raunak Earth Park Kaly"/>
        <s v="Tharwani Vedant Millenia Titwala | Drone"/>
        <s v="Call 7021988393 | Raunak Earth Park 2BHK"/>
        <s v="Kalyan West Sarvoday Marvel | 1 &amp; 2 BHK "/>
        <s v="2 BHK Flat for Sale in Thakurli | Metro "/>
        <s v="Call 7021988393 | Tharwani Vedant Millen"/>
        <s v="Call 7021988393 | Heaven Enclave 1BHK UC"/>
        <s v="Call 7021988393 | 2BHK FURNISHED FLAT IN"/>
        <s v="1 BHK Flat for Sale in Titwala | A1 Livi"/>
        <s v="Kalyan Me Aapke Budget Me 2BHK Spacious "/>
        <s v="A1 Living Titwala | Subhash Residency | "/>
        <s v="Sarvoday Marvel | 2 BHK Sample Flat Tour"/>
        <s v="Spacious 1 BHK Flat for Sale in Kalyan E"/>
        <s v="1 BHK Titwala East | Astha Omkar | Budge"/>
        <s v="Call 7021988393 | Kingsman Residency Kal"/>
        <s v="Aastha Omkar Titwala | 1BHK Luxury Flat "/>
        <s v="Call 7021988393 | Anandi Imperial Dombiv"/>
        <s v="Call 7021988393 | Godrej Upavan 2BHK Sam"/>
        <s v="Call 7021988393 | SPACIOUS LUXURY 2BHK F"/>
        <s v="1 BHK Flat in Raunak City Kalyan | Luxur"/>
        <s v="Call 7021988393 | Lodha Crown Dombivli 2"/>
        <s v="Raunak Earth Park Kalyan West | 3BHK Sam"/>
        <s v=" Midtown Adam Eve Kalyan West | Luxury "/>
        <s v="Raunak Earth Park Kalyan West | Raunak C"/>
        <s v="Seasons Green Kalyan West | Project Revi"/>
        <s v="Call 7021988393 | New Project Launch in "/>
        <s v="Call 7021988393 | Kalyan Tallest Tower |"/>
        <s v="4 BHK Flat in Kalyan West | Mohan Presti"/>
        <s v="Call 7021988393 | Dombivli Ka Premium Bu"/>
        <s v="Call 7021988393 | Kohinoor Uptown 1BHK F"/>
        <s v="Kalyan Surabhi Homes | 1 BHK Flat for Sa"/>
        <s v="Kulswamini Pride Dombivli | 1 &amp; 2 BHK Pr"/>
        <s v="Call 7021988393 | 2BHK Sample Flat of Re"/>
        <s v=" Sharda Serene | Luxury 2 BHK Flat for "/>
        <s v="Call 7021988393 | Ajmera One 1BHK Ultra "/>
        <s v="Vaishnavi Pride Kalyan East | 1 BHK Fla"/>
        <s v="Call 7021988393 | Most Affordable Manges"/>
        <s v="Call 7021988393 | Tharwani Vedant Naksha"/>
        <s v="Mehta Legend Thane | Luxury 1 BHK Flat F"/>
        <s v="Ajmera One Kalyan | Luxury 1 &amp; 2 BHK Hom"/>
        <s v="Call 7021988393 | 2BHK Flat in 1BHK Pric"/>
        <s v="Kohinoor Highland Dombivli East | 1&amp;2 BH"/>
        <s v="Tulsi City Flats | 1 &amp; 2 BHK Flats for S"/>
        <s v="Kohinoor Highland Dombivli East | Sample"/>
        <s v="Call 7021988393 | Vikas Ritz Kalyan West"/>
        <s v="The Green Sapphirre | Premium 1BHK &amp; 2BH"/>
        <s v="Call 7021988393 | Panchratna Sapphire Ka"/>
        <s v="Call 7021988393 | Big Carpet Area Flat i"/>
        <s v="Samruddhi Heights Kalyan West | 1 &amp; 2 BH"/>
        <s v="Call 7021988393 | Affordable Big Carpet "/>
        <s v="Anandi Imperial Dombivli East | 1 &amp; 2 BH"/>
        <s v="Call 7021988393 | 1BHK Flat in Kalyan We"/>
        <s v="Call 7021988393 | Anand Imperial Kalyan "/>
        <s v="Call 7021988393 | Luxurious Living with "/>
        <s v="Call 7021988393 | Siyara Fortune Bhiwand"/>
        <s v="Call 7021988393 | Sagar Homes Kalyan | 1"/>
        <s v="Sagar Homes Kalyan | 1 &amp; 2BHK Flats with"/>
        <s v="Call 7021988393 | 1BHK Premium Flat in K"/>
        <s v="Call 7021988393 | Kohinoor Highland Domb"/>
        <s v="Call 7021988393 | Luxurious Spacious Hom"/>
        <s v="Call 7021988393 | Commercial Office Spac"/>
        <s v="Call 7021988393 | See The Project You Fa"/>
        <s v="Call 7021988393 | Look  What a Luxury F"/>
        <s v="Call 7021988393 | 2BHK Spacious Flat in "/>
        <s v="Call 7021988393 | Kidhar Aana Hai! DMart"/>
        <s v="Triveni Pearl Kalyan | 2BHK Luxury Flat "/>
        <s v="Call 7021988393 | Kalyan Me Sabse Sasta "/>
        <s v="Call 7021988393 | Spacious 1BHK Affordab"/>
        <s v="Call 7021988393 | 1BHK Luxury Flat Tour "/>
        <s v="Call 7021988393 | Kalyan Aashiyana 1BHK "/>
        <s v="Call 7021988393 | Dombivli's Shivalay | "/>
        <s v="Call 7021988393 | Inside Stunning 2BHK L"/>
        <s v="Call 7021988393 | 2BHK Affordable Flat i"/>
        <s v="Call 7021988393 | Property | Property Bu"/>
        <s v="Call 7021988393 | Kalyan West Ka Budget "/>
        <s v="Property | Real Estate Tips for Buyers |"/>
        <s v="Beautifully Planned Luxury Project in Ka"/>
        <s v="Call 7021988393 | 2BHK Beautiful Flat in"/>
        <s v="Call 7021988393 | Kalyan Me Highway Touc"/>
        <s v="Call 7021988393 | Dombivli Me Luxury 2BH"/>
        <s v="Call 7021988393 | Kalyan Ka Best Budget "/>
        <s v="Call 7021988393 | Prime Location Prime P"/>
        <s v="Call 7021988393 | Commercial Spaces in K"/>
        <s v="Call 7021988393 | Kalyan Main Best Locat"/>
        <s v="Call 7021988393 | Kalyan Ka Big Empire |"/>
        <s v="Call 7021988393 | 1BHK Premium Flat at B"/>
        <s v="Call 7021988393 | Kalyan Me Premium Luxu"/>
        <s v="Call 7021988393 | Affordable 1BHK Flats "/>
        <s v="Call 7021988393 | 2BHK Flat Near Kalyan "/>
        <s v="Call 7021988393 | Kalyan East Ka Premium"/>
        <s v="Kalyan Vihar 1BHK Sample Flat Tour | New"/>
        <s v="Call 7021988393 | Kalyan Me Modern Ameni"/>
        <s v="Call 7021988393 | Mangeshi World 2BHK Sa"/>
        <s v="Kalyan Residency 1BHK Flat Tour | Afford"/>
        <s v="Call 7021988393 | Luxury Project in Titw"/>
        <s v="7021988393Affordble &amp; Luxury 3 BHK Fla"/>
        <s v="Call 7021988393 | Kulswamini Pride 2BHK "/>
        <s v="Call 7021988393 | Kalyan Khadakpada ka S"/>
        <s v="Call 7021988393 | Super Spacious 1BHK Fl"/>
        <s v="Call 7021988393 | Kalyan Me Sirf 45L Me "/>
        <s v="Kalyan Ka Big Empire | Tharwani Vedant E"/>
        <s v="Spacious Premium 1BHK Flat in Thakurli |"/>
        <s v="The Green Sapphirre Kalyan | Premium Tow"/>
        <s v="Call 7021988393 | Dombivli Me Nature Hom"/>
        <s v="Call 7021988393 | Siyara Fortune 1BHK Sa"/>
        <s v="Mangeshi Jupiter Ready To Move 1 &amp; 2BHK "/>
        <s v="Titwala Me Sirf 17 Lakh Me Mil Raha hai "/>
        <s v="Call 7021988393 | Rustomjee Urban Woods "/>
        <s v="Call 7021988393 | Badlapur Me Budget 2BH"/>
        <s v="Call 7021988393 | Dombivli Me Nature Sur"/>
        <s v="Mangeshi World 2BHK Sample Flat Tour | S"/>
        <s v="Call 7021988393 | Affordable Luxury Life"/>
        <s v="Call 7021988393 | Affordable 2BHK Luxury"/>
        <s v="Call 7021988393 | 1 &amp; 2 BHK Flats in Kal"/>
        <s v="Krishna Trident 2BHK Sample Flat | Premi"/>
        <s v="Call 7021988393 | Kohinoor Uptown Kalyan"/>
        <s v="Call 7021988393 | Budget Flats in Thakur"/>
        <s v="Elite Galaxy Dombivli | Luxury Budget Pr"/>
        <s v="Kalyan Dombivli Railway Line Me Behtaree"/>
        <s v="White Square Kalyan Sample Flat | 2, 3 &amp;"/>
        <s v="The Green Sapphirre Kalyan | Township Dr"/>
        <s v="Rustomjee 3BHK Sample Flat Tour | Luxury"/>
        <s v="7021988393The Green Sapphirre - Kalyan"/>
        <s v="Birla Vanya Kalyan | Luxurious Life Desi"/>
        <s v="Dombivli Ka Prime Project | Lodha Crown "/>
        <s v="Kalyan ka Naya Khadakpada | Premium 1 &amp; "/>
        <s v="Call 7021988393 | Badlapur ka Most Await"/>
        <s v="Dombivli Ka Shaandar Real Estate Project"/>
        <s v="Call 7021988393 | 1, 2 &amp; 3BHK Luxury Fla"/>
        <s v="Kapleshwara Residency Dombivli - Sample "/>
        <s v="Kapleshwara ResidencyDrone View | Spaci"/>
        <s v="Call 7021988393 | Dombivli East ka Bramh"/>
        <s v="Call 7021988393 | Luxury Project by Godr"/>
        <s v="Call 7021988393 | Affordable Luxury Flat"/>
        <s v="Kalyan ka BIG BOSS - Krishna Trident|70"/>
        <s v="Kalyan East 1 BHKfor Sale | 7021988393 "/>
        <s v="Call 7021988393 | 2BHK Luxury Flat in Ka"/>
        <s v="Call 7021988393 | 1BHK in 34 Lakh in Kal"/>
        <s v="Call 7021988393 | Badlapur Me 2BHK Flat "/>
        <s v="Call 7021988393 | 1BHK Under 42Lakh in T"/>
        <s v="Call 7021988393 | Luxurious Township in "/>
        <s v="Luxury 2 &amp; 3 BHK |7021988393 | Shreeji "/>
        <s v="Flat Starts From 43.99 Lacs* Onwards | A"/>
        <s v="Call 7021988393 | 1BHK Premium Flat in T"/>
        <s v="1,2 BHK Flat Near Station‰| 7021988393"/>
        <s v="Call 7021988393 | Kalyan Ka Sabse Premiu"/>
        <s v="Shops for Sale “Thakurli |7021988393 | "/>
        <s v="Call 7021988393 | Inside a 3BHK Premium "/>
        <s v="Best Office Space in Kalyan | 7021988393"/>
        <s v="Rs.17.5 1BHK Flats| Mhada &amp; RERA Approv"/>
        <s v="7021988393 | Kalyan Wests Premier Reside"/>
        <s v="Call 7021988393 | 2BHK Luxury Spacious F"/>
        <s v="Call 7021988393 | Inside Rustomjee Dombi"/>
        <s v="Call 7021988393 | Step Inside Birla Vany"/>
        <s v="Call 7021988393 | 1 BHK Luxury Flat in K"/>
        <s v="Call 7021988393 | 2BHK Flat Tour in Swam"/>
        <s v="Call 7021988393 | 1BHK Ready to Move Fla"/>
        <s v="Call 7021988393 | 1 &amp; 2 BHK Luxury Flats"/>
        <s v="Call 7021988393 | Commercial Property fo"/>
        <s v="Call 7021988393 | 1BHK Premium Flat in D"/>
        <s v="Call 7021988393 | 1BHK Luxury Flats in B"/>
        <s v="Call7021988393 | 2 BHK Flats in Dombivl"/>
        <s v="Call 7021988393 | Luxury 2 BHK Flat Tour"/>
        <s v="Call 7021988393 | Ornate Rise 2BHK Luxur"/>
        <s v="Call 7021988393 | Industrial Gala for Sa"/>
        <s v="Call 7021988393 | Ornate Rise 2BHK Sampl"/>
        <s v="1BHK Luxury Flat at Tharwani Vedant Naks"/>
        <s v="Stunning 1BHK Sample Flat Tour | Codenam"/>
        <s v="Commercial Shop for Sale Near Me in Kaly"/>
        <s v="Amber One Thakurli Real Estate Project |"/>
        <s v="Affordable Flats in Thakurli | Balaji Go"/>
        <s v="Tharwani Palacia 2BHK Sample Flat | Luxu"/>
        <s v="Balaji Krishna 1BHK Flat | Affordable Fl"/>
        <s v="1BHK Ready to Move Flats in Kalyan West "/>
        <s v="Elite Galaxy Dombivli | Affordable 2BHK "/>
        <s v="Mehta Altura Kalyan West | 2BHk Sample S"/>
        <s v="Biggest Carpet at Affordable Price | Sag"/>
        <s v="Best Real Estate Project in Dombivli | K"/>
        <s v="The Tallest Residential Tower in Kalyan "/>
        <s v="Swaminarayan City Dombivli | Luxury 1 &amp; "/>
        <s v="1BHK Affordable Flat in Thakurli | Best "/>
        <s v="2BHK Luxury Flat in Dombivli | Vastu Lux"/>
        <s v="Affordable 1 &amp; 2 BHK Flats in Kalyan | M"/>
        <s v="Spacious Homes in Dombivli | Sunraj Soli"/>
        <s v="2BHK Luxury Sample Flat Tour at Triveni "/>
        <s v="Affordable 2BHK Homes in Dombivli | Elit"/>
        <s v="New Launch Dombivli East | 1, 2 &amp; 3 BHK "/>
        <s v="How to Identify Real vs Fake Real Estate"/>
        <s v="Swaminarayan City Dombivli | Luxury Proj"/>
        <s v="Elite Galaxy Dombivli | Elite Galaxy Sam"/>
        <s v="Affordable Flats in Kalyan | Ritz Vikas "/>
        <s v="Best Budget Projects in Kalyan | Top Pro"/>
        <s v="Krishna Trident Kalyan East | 2BHK Luxur"/>
        <s v="Metro Grande Kalyan 3BHK Sample Flat Tou"/>
        <s v="Krishna Trident Kalyan | 1 &amp; 2BHK Luxury"/>
        <s v="Luxury 2 BHK Flats in Dombivli East | Ba"/>
        <s v="Metro Pride 2BHK Sample Flat | 5Min from"/>
        <s v="Metro Luxuria Thakurli | Affordable 2BHK"/>
        <s v="Metro Pride Project Model | 1 &amp; 2BHK Fla"/>
        <s v="Premium 1 BHK, 2 BHK Flats Kalyan East |"/>
        <s v="Luxury 1 BHK &amp; 2 BHK Flats in Kalyan Eas"/>
        <s v="Metro Pride Thakurli | 1 BHK Flat Tour |"/>
        <s v="Sagar Homes Kalyan | 2BHK Flat with Balc"/>
        <s v="Magus City Kalyan | 1 &amp; 2 BHK Under Cons"/>
        <s v="Metro Luxuria Thakurli | Affordable 2 BH"/>
        <s v="Birla Vanya Clubhouse Tour | Experience "/>
        <s v="Metro Pride Thakurli | 1 BHK Sample Flat"/>
        <s v="Kohinoor Highland Dombivli | Luxury Club"/>
        <s v="Tharwani Vedant Millenia Clubhouse Tour "/>
        <s v="Godrej Vihaa Badlapur Project Model | 1 "/>
        <s v="Mohan Alcoves Badlapur Project Model | 1"/>
        <s v="Codename Malabar Hill Badlapur 2BHK Samp"/>
        <s v="Tharwani Vedant Nakshatra | 2 BHK Flat i"/>
        <s v="Spacious 2BHK Sample Flat Tour | Tulsi A"/>
        <s v="Tata Amantra Clubhouse Tour | 2 &amp; 3BHK L"/>
        <s v="Tharwani Vedant Millenia 1 BHK Sample Fl"/>
        <s v="A1 Living Titwala | Premium 1BHK Sample "/>
        <s v="Tulsi Aawas Badlapur | Premium 2BHK Samp"/>
        <s v="Codename Malabar Hill Badlapur | Luxury "/>
        <s v="Sai Mauli Titwala | Spacious 2BHK Sample"/>
        <s v="Godrej Vihaa Badlapur | Luxury 1BHK Samp"/>
        <s v="Godrej Vihaa Sky Garden Badlapur | Luxur"/>
        <s v="1 BHK Flat in Titwala | starts 17.5 Lakh"/>
        <s v="Shubharambh Titwala 1BHK Sample Flat Tou"/>
        <s v="Sai Mauli Titwala | Stunning 1BHK Sample"/>
        <s v="Mangeshi Jupiter 2BHK Sample Flat Tour |"/>
        <s v="Rustagi Aarambha | Luxury 1 BHK &amp; 2 BHK "/>
        <s v="Shubharambh Titwala | Premium 1 BHK Samp"/>
        <s v="Tharwani Vedant Millenia 2BHK Spacious F"/>
        <s v="Sai Mauli Titwala | Premium 1BHK Sample"/>
        <s v="Tharwani Majestic Tower 2BHK Sample Flat"/>
        <s v="Mohan Alcoves Badlapur | 1 BHK Flats Sta"/>
        <s v="TATA Amantra 2BHK Sample Flat Tour | Cal"/>
        <s v="Inside Tharwani Majestic Towers Kalyan |"/>
        <s v="Rustomjee Dombivli New Launch | Upcoming"/>
        <s v="Rustomjee Dombivli | 1, 2 &amp; 3BHK Luxury "/>
        <s v="Luxury 2BHK Sample Flat Tour | Shreeji L"/>
        <s v=" Rustomjee Dombivli Luxury Living with "/>
        <s v="Mohan Alcoves Badlapur | Stunning 2BHK S"/>
        <s v="Inside Tata Amantra Kalyan West | Luxury"/>
        <s v="Tharwani Badlapur West Project| Tharwani"/>
        <s v="Mohan Alcoves Badlapur | Inside Tour of "/>
        <s v="Explore Luxury 2BHK Sample Flat at Shree"/>
        <s v="3 Min's from Railway Station | 1 &amp; 2 BHK"/>
        <s v="Luxury 2, 3, 4 &amp; 5 BHK Flats in Kalyan |"/>
        <s v="White Square Kalyan | Luxury 2, 3 &amp; 4 BH"/>
        <s v="Arihant Aaradhya Kalyan | 2 BHK Sample F"/>
        <s v="Arihant Aaradhya Kalyan | 1 BHK Sample F"/>
        <s v="House of Hiranandani 2BHK Sample Flat | "/>
        <s v="Rustomjee Dombivli Launching 1 &amp; 2 BHK |"/>
        <s v="Rustomjee Dombivli New Project | Luxury "/>
        <s v="Arihant City Kalyan | Spacious 2 BHK Fla"/>
        <s v="LM Tower | Ready To Move 1 &amp; 2 BHK Flats"/>
        <s v="1 BHK Flat for Sale in Badlapur | Near B"/>
        <s v="Samruddhi Heights Kalyan | Premium 1 RK,"/>
        <s v="Spacious 2 BHK Flats at Samruddhi Height"/>
        <s v="Affordable Flats in Kalyan| 1 BHK Flat f"/>
        <s v="CREDAI MCHI Kalyan Dombivli Exhibition 2"/>
        <s v="Tata Amantra Kalyan | Luxury Project in "/>
        <s v="Discover Kohinoor Uptown Kalyan West | 1"/>
        <s v="Ready to Move Flats in Kalyan West | Tat"/>
        <s v="Kohinoor Uptown Kalyan West | 1 &amp; 2 BHK "/>
        <s v="Spacious 1 &amp; 2 BHK Homes in Kalyan | Siy"/>
        <s v="3 BHK Flat In Kalyan West | 3 BHK Flat N"/>
        <s v="1 BHK Sample Flat Tour | Godrej Riviera "/>
        <s v="3 bhk Flat in Kalyan West | Maatr Skye K"/>
        <s v="2 BHK Sample Flat Tour | Godrej Riviera "/>
        <s v="Godrej Riviera Kalyan | Lush Greenery &amp; "/>
        <s v="Godrej Riviera Kalyan | Luxury 1 &amp; 2 BHK"/>
        <s v="Arihant World Villas Karjat | Luxury 3 &amp;"/>
        <s v="New project in kalyan | Kohinoor Uptown "/>
        <s v="Explore Balaji Aqua 3BHK Sample Flat | L"/>
        <s v="Kalyan Luxury 1,2 &amp; 3 BHK Apartment| Rit"/>
        <s v="Balaji Aqua Khadakpada, Kalyan | Project"/>
        <s v="Elite Galaxy Dombivli East | 1 BHK, 2 BH"/>
        <s v="Davakhar Sereno Kalyan | 1 &amp; 2 BHK Flats"/>
        <s v="Runwal Garden Dombivali | 1, 2, 3 &amp; 4 BH"/>
        <s v="Affordable 1,2 &amp; 3 BHK Flats for Sale| D"/>
        <s v="Chavan Advaitam Sample Flat |¨Luxury 2 &amp;"/>
        <s v="Venus Skky City Dombivli | 1 &amp; 2 BHK Dec"/>
        <s v="Nirvana Gardens Kalyan | 1 bhk at 46 Lak"/>
        <s v="Kohinoor Eden Kalyan | 1 &amp; 2 BHK Flats S"/>
        <s v="A1 Living Titwala | 1 BHK Flat Starting "/>
        <s v="Kohinoor Prime Shahad | 1 &amp; 2 BHK Flats "/>
        <s v="Sai World Legend Ulhasnagar | Luxurious "/>
        <s v="Nirvana Gardens Kalyan | 1, 2 and 3 BHK "/>
        <s v="Sai World Dreams Dombivli | Sample Flat "/>
        <s v="Fully Furnished | 1BHK, 2BHK | Don't Mis"/>
        <s v="Luxury 1BHK, 2BHK Flat for Sale in Dombi"/>
        <s v="Elite Galaxy Dombivli | Fully Furnished "/>
        <s v="1 BHK Flat in Titwala New construction |"/>
        <s v="Shubharambh Titwala | Affordable 1 BHK a"/>
        <s v="Shubharambh | Titwala | Affordable 1 BHK"/>
        <s v="Godrej Riviera Kalyan | Luxurious 1 &amp; 2"/>
        <s v="Balaji Vishant Dombivli | Balaji Vishant"/>
        <s v="Nature Vista Kalyan| Affordable Luxurio"/>
        <s v="1 BHK FLAT NEAR DMART | Flats in Dombivl"/>
        <s v="Godrej Vihaa Badlapur 2 BHK price | Best"/>
        <s v="2BHK Flats in Kalyan For Sale | Best Fl"/>
        <s v="Flats in Kalyan Below 25 Lakhs| Startin"/>
        <s v="2 Bhk Flats Under 35 Lakhs in Kalyan Wes"/>
        <s v="2 bhk Flat in Kalyan West Rambaug| 2 bh"/>
        <s v="1 BHK Flat in Kalyan Below 20 lakhs | Lo"/>
        <s v="1BHK in Dombivli For Urgent Sale..! | Be"/>
        <s v="Kohinoor Highland Dombivli| Dombivli 1 "/>
        <s v="Regency Sarvam Titwala | 1&amp; 2 BHK Flat i"/>
        <s v="A1 Living Titwala| 1 &amp; 2 BHK Flat for Sa"/>
        <s v="Top 5 Ready to Move Property| 1 &amp; 2 BHK "/>
        <s v="Haware Kalyan 1 &amp; 2 BHK Flat for Sale | "/>
        <s v="Regency Anantam NXT | Magic Phir Se | 1/"/>
        <s v="Tisai Heights Kalyan East | 1BHK, 2BHK F"/>
        <s v="Kohinoor Prime Shahad | 1BHK ,2BHK | Sam"/>
        <s v="Seasons Green Kalyan West | 1BHK | 2BHK "/>
        <s v="Low Budget Flats In Kalyan | 1 BHK Flat "/>
        <s v="Ready To Move Flats In Ambernath |1 BHK "/>
        <s v="Most Luxury Project in Kalyan West | Moh"/>
        <s v="Riverwood Park Codename Thia | 1 &amp; 2 BHK"/>
        <s v="Arihant Kalyan New Launch Beachfront Pro"/>
        <s v="Tata Amantra | Ready to Move | Fully Fur"/>
        <s v="1 BHK | 2 BHK | Ready to Move | Ready Po"/>
        <s v="Hiranadani Kalyan | Hiranandani Woodspri"/>
        <s v="Swaminarayan City Dombivli West | 1/2/3 "/>
        <s v="L M Tower Bhiwandi | Flat For Sale In Bh"/>
        <s v="Hiranandani Kalyan 1 BHK Sample Flat Vid"/>
        <s v="Hiranadani Kalyan 2 BHK Sample Flat Vide"/>
        <s v="L M Tower Bhiwandi | 1 BHK | 2 BHK | Fla"/>
        <s v="1 BHK Deck Apartment For Sale In Dombivl"/>
        <s v="Vikas Ritz Kalyan West | Ritz Vikas Kaly"/>
        <s v="1,2 &amp; 3 BHK Flat for Sale in Dombivli | "/>
        <s v="Godrej Riviera | Godrej Riviera Kalyan S"/>
        <s v="Mangeshi Trinity Kalyan | Mangeshi Trini"/>
        <s v="Hiranandani Kalyan | Hiranandani Woodspr"/>
        <s v="Saket World Kalyan East | 1 BHK, 3 BHK &amp;"/>
        <s v="Sai World Dreams Dombivli 1/2/3 BHK Tour"/>
        <s v="Venus Skky City Dombivli East | 1 &amp; 2 BH"/>
        <s v="Nearing Possession 1 BHK &amp; 2 BHK Flats F"/>
        <s v="Kalyan City Mumbai | Everything About Ka"/>
        <s v="1 BHK Urgent!!!| Carpet 484 Sq. Ft | Cal"/>
        <s v="1 Bhk Flat For Sale In Dombivli Near Dma"/>
        <s v="Swaminarayan City Dombivli West | 1, 2 &amp;"/>
        <s v="Seasons Sahara Kalyan East | 2 BHK Sampl"/>
        <s v="2 Bhk Flat In Kalyan For Sale | 2 Bhk Fl"/>
        <s v="Ready To Move 1 BHK Flat For Sale In Kal"/>
        <s v="1 Bhk Flat For Sale In Dombivli | Flat F"/>
        <s v="1 BHK  Flat For Sale In Dombivli Near D"/>
        <s v="2 BHK Flat In Kalyan West | 2 BHK Flat F"/>
        <s v="Luxurious 3 Bhk Flat For Sale In Kalyan "/>
        <s v="Kalyan Vihar Kalyan West | 1 Bhk Flat Fo"/>
        <s v="Arihant Aaradhya Kalyan | 1 Bhk Flats Fo"/>
        <s v="1 BHK | Flower Valley | New Construction"/>
        <s v="Luxurious 2 BHK Flat For Sale In Kalyan"/>
        <s v="Kohinoor Eden | Cheap 1 BHK Flat in Kaly"/>
        <s v="Swaminarayan City | 7021988393"/>
        <s v="1 BHK Flats Rera Registered"/>
        <s v="Metro Paramount | 2 BHK Flat Home Tour |"/>
        <s v="Low Cost Flat For Sale In Kalyan West | "/>
        <s v="Empire Residency Kalyan | Underconstruct"/>
        <s v="1 Bhk Flat In Kalyan East | Flat In Kal"/>
        <s v="Office Space for Sale in Vikhroli Mumbai"/>
        <s v="Birla Vanya Kalyan | Flat for Sale in Ka"/>
        <s v="Regency Sarvam Titwala | 1 BHK Flat for "/>
        <s v="Mohan Group  New Launch In Ambernath | "/>
        <s v="1 &amp; 2 BHK Terrace Flats | Saket World K"/>
        <s v="Vedant Palacia a Project by Tharwani Inf"/>
        <s v="Ready To Move 1 &amp; 2 Bhk Flat For Sale In"/>
        <s v="1 Bhk 29.95 Lacs* | Regency Sarvam Titwa"/>
        <s v="Swaminarayan City Dombivali West | 7"/>
        <s v="Kohinoor Eden Kalyan East New Constructi"/>
        <s v="Ready To Move 1 &amp; 2 Bhk Flats For Sale I"/>
        <s v="1 RK 21 LACS &amp; 1 BHK 25 LACS AT KALYAN W"/>
        <s v="Om Sai Home Bhiwandi | 1 BHK Sample Flat"/>
        <s v="Regency Sarvam Titwala East | Short Proj"/>
        <s v="Flats for Sale in Bhiwandi | Top 5 Proje"/>
        <s v="Siddha Sky Wadala Mumbai | Review Locati"/>
        <s v="Asmeeta Textile Park by Asmeeta Texpa at"/>
        <s v="Regency Sarvam Titwala East | Sample Fla"/>
        <s v="Mahindra Happinest Kalyan | 1 &amp; 2 BHK Fl"/>
      </sharedItems>
    </cacheField>
    <cacheField name="Date Category" numFmtId="0">
      <sharedItems count="4">
        <s v="Last 28 Days"/>
        <s v="Last 90 Days"/>
        <s v="Last 365 Days"/>
        <s v="Older"/>
      </sharedItems>
    </cacheField>
    <cacheField name="Video Publish Date" numFmtId="14">
      <sharedItems containsSemiMixedTypes="0" containsNonDate="0" containsDate="1" containsString="0" minDate="2019-11-15T00:00:00" maxDate="2026-01-30T00:00:00" count="334">
        <d v="2026-01-29T00:00:00"/>
        <d v="2026-01-28T00:00:00"/>
        <d v="2026-01-25T00:00:00"/>
        <d v="2026-01-23T00:00:00"/>
        <d v="2026-01-22T00:00:00"/>
        <d v="2026-01-20T00:00:00"/>
        <d v="2026-01-16T00:00:00"/>
        <d v="2026-01-15T00:00:00"/>
        <d v="2026-01-14T00:00:00"/>
        <d v="2026-01-11T00:00:00"/>
        <d v="2026-01-09T00:00:00"/>
        <d v="2026-01-08T00:00:00"/>
        <d v="2026-01-07T00:00:00"/>
        <d v="2026-01-04T00:00:00"/>
        <d v="2026-01-03T00:00:00"/>
        <d v="2026-01-02T00:00:00"/>
        <d v="2025-12-31T00:00:00"/>
        <d v="2025-12-30T00:00:00"/>
        <d v="2025-12-28T00:00:00"/>
        <d v="2025-12-27T00:00:00"/>
        <d v="2025-12-26T00:00:00"/>
        <d v="2025-12-25T00:00:00"/>
        <d v="2025-12-23T00:00:00"/>
        <d v="2025-12-21T00:00:00"/>
        <d v="2025-12-20T00:00:00"/>
        <d v="2025-12-19T00:00:00"/>
        <d v="2025-12-18T00:00:00"/>
        <d v="2025-12-17T00:00:00"/>
        <d v="2025-12-16T00:00:00"/>
        <d v="2025-12-14T00:00:00"/>
        <d v="2025-12-13T00:00:00"/>
        <d v="2025-12-12T00:00:00"/>
        <d v="2025-12-11T00:00:00"/>
        <d v="2025-12-10T00:00:00"/>
        <d v="2025-12-09T00:00:00"/>
        <d v="2025-12-07T00:00:00"/>
        <d v="2025-12-06T00:00:00"/>
        <d v="2025-12-05T00:00:00"/>
        <d v="2025-12-04T00:00:00"/>
        <d v="2025-12-02T00:00:00"/>
        <d v="2025-11-30T00:00:00"/>
        <d v="2025-11-29T00:00:00"/>
        <d v="2025-11-27T00:00:00"/>
        <d v="2025-11-26T00:00:00"/>
        <d v="2025-11-23T00:00:00"/>
        <d v="2025-11-22T00:00:00"/>
        <d v="2025-11-19T00:00:00"/>
        <d v="2025-11-18T00:00:00"/>
        <d v="2025-11-16T00:00:00"/>
        <d v="2025-11-15T00:00:00"/>
        <d v="2025-11-14T00:00:00"/>
        <d v="2025-11-11T00:00:00"/>
        <d v="2025-11-09T00:00:00"/>
        <d v="2025-11-08T00:00:00"/>
        <d v="2025-11-07T00:00:00"/>
        <d v="2025-11-06T00:00:00"/>
        <d v="2025-11-05T00:00:00"/>
        <d v="2025-11-02T00:00:00"/>
        <d v="2025-11-01T00:00:00"/>
        <d v="2025-10-31T00:00:00"/>
        <d v="2025-10-30T00:00:00"/>
        <d v="2025-10-29T00:00:00"/>
        <d v="2025-10-28T00:00:00"/>
        <d v="2025-10-26T00:00:00"/>
        <d v="2025-10-25T00:00:00"/>
        <d v="2025-10-24T00:00:00"/>
        <d v="2025-10-23T00:00:00"/>
        <d v="2025-10-22T00:00:00"/>
        <d v="2025-10-21T00:00:00"/>
        <d v="2025-10-18T00:00:00"/>
        <d v="2025-10-17T00:00:00"/>
        <d v="2025-10-16T00:00:00"/>
        <d v="2025-10-15T00:00:00"/>
        <d v="2025-10-12T00:00:00"/>
        <d v="2025-10-11T00:00:00"/>
        <d v="2025-10-10T00:00:00"/>
        <d v="2025-10-09T00:00:00"/>
        <d v="2025-10-07T00:00:00"/>
        <d v="2025-10-03T00:00:00"/>
        <d v="2025-09-30T00:00:00"/>
        <d v="2025-09-27T00:00:00"/>
        <d v="2025-09-25T00:00:00"/>
        <d v="2025-09-23T00:00:00"/>
        <d v="2025-09-19T00:00:00"/>
        <d v="2025-09-18T00:00:00"/>
        <d v="2025-09-17T00:00:00"/>
        <d v="2025-09-16T00:00:00"/>
        <d v="2025-09-14T00:00:00"/>
        <d v="2025-09-11T00:00:00"/>
        <d v="2025-09-10T00:00:00"/>
        <d v="2025-09-09T00:00:00"/>
        <d v="2025-09-05T00:00:00"/>
        <d v="2025-09-03T00:00:00"/>
        <d v="2025-09-02T00:00:00"/>
        <d v="2025-08-30T00:00:00"/>
        <d v="2025-08-29T00:00:00"/>
        <d v="2025-08-28T00:00:00"/>
        <d v="2025-08-27T00:00:00"/>
        <d v="2025-08-26T00:00:00"/>
        <d v="2025-08-23T00:00:00"/>
        <d v="2025-08-22T00:00:00"/>
        <d v="2025-08-21T00:00:00"/>
        <d v="2025-08-20T00:00:00"/>
        <d v="2025-08-19T00:00:00"/>
        <d v="2025-08-16T00:00:00"/>
        <d v="2025-08-15T00:00:00"/>
        <d v="2025-08-14T00:00:00"/>
        <d v="2025-08-13T00:00:00"/>
        <d v="2025-08-09T00:00:00"/>
        <d v="2025-08-08T00:00:00"/>
        <d v="2025-08-07T00:00:00"/>
        <d v="2025-08-06T00:00:00"/>
        <d v="2025-08-05T00:00:00"/>
        <d v="2025-08-03T00:00:00"/>
        <d v="2025-08-02T00:00:00"/>
        <d v="2025-08-01T00:00:00"/>
        <d v="2025-07-31T00:00:00"/>
        <d v="2025-07-30T00:00:00"/>
        <d v="2025-07-29T00:00:00"/>
        <d v="2025-07-26T00:00:00"/>
        <d v="2025-07-25T00:00:00"/>
        <d v="2025-07-24T00:00:00"/>
        <d v="2025-07-23T00:00:00"/>
        <d v="2025-07-22T00:00:00"/>
        <d v="2025-07-20T00:00:00"/>
        <d v="2025-07-19T00:00:00"/>
        <d v="2025-07-18T00:00:00"/>
        <d v="2025-07-17T00:00:00"/>
        <d v="2025-07-06T00:00:00"/>
        <d v="2025-07-05T00:00:00"/>
        <d v="2025-07-04T00:00:00"/>
        <d v="2025-07-02T00:00:00"/>
        <d v="2025-07-01T00:00:00"/>
        <d v="2025-06-29T00:00:00"/>
        <d v="2025-06-28T00:00:00"/>
        <d v="2025-06-27T00:00:00"/>
        <d v="2025-06-26T00:00:00"/>
        <d v="2025-06-24T00:00:00"/>
        <d v="2025-06-22T00:00:00"/>
        <d v="2025-06-21T00:00:00"/>
        <d v="2025-06-20T00:00:00"/>
        <d v="2025-06-19T00:00:00"/>
        <d v="2025-06-18T00:00:00"/>
        <d v="2025-06-13T00:00:00"/>
        <d v="2025-06-11T00:00:00"/>
        <d v="2025-06-10T00:00:00"/>
        <d v="2025-06-07T00:00:00"/>
        <d v="2025-06-01T00:00:00"/>
        <d v="2025-05-31T00:00:00"/>
        <d v="2025-05-30T00:00:00"/>
        <d v="2025-05-25T00:00:00"/>
        <d v="2025-05-17T00:00:00"/>
        <d v="2025-05-15T00:00:00"/>
        <d v="2025-05-14T00:00:00"/>
        <d v="2025-05-13T00:00:00"/>
        <d v="2025-05-11T00:00:00"/>
        <d v="2025-05-10T00:00:00"/>
        <d v="2025-05-09T00:00:00"/>
        <d v="2025-05-08T00:00:00"/>
        <d v="2025-05-07T00:00:00"/>
        <d v="2025-05-06T00:00:00"/>
        <d v="2025-05-04T00:00:00"/>
        <d v="2025-05-03T00:00:00"/>
        <d v="2025-05-01T00:00:00"/>
        <d v="2025-04-30T00:00:00"/>
        <d v="2025-04-29T00:00:00"/>
        <d v="2025-04-27T00:00:00"/>
        <d v="2025-04-25T00:00:00"/>
        <d v="2025-04-19T00:00:00"/>
        <d v="2025-04-18T00:00:00"/>
        <d v="2025-04-17T00:00:00"/>
        <d v="2025-04-16T00:00:00"/>
        <d v="2025-04-15T00:00:00"/>
        <d v="2025-04-13T00:00:00"/>
        <d v="2025-04-12T00:00:00"/>
        <d v="2025-04-10T00:00:00"/>
        <d v="2025-04-09T00:00:00"/>
        <d v="2025-04-06T00:00:00"/>
        <d v="2025-04-04T00:00:00"/>
        <d v="2025-04-02T00:00:00"/>
        <d v="2025-03-30T00:00:00"/>
        <d v="2025-03-29T00:00:00"/>
        <d v="2025-03-28T00:00:00"/>
        <d v="2025-03-27T00:00:00"/>
        <d v="2025-03-26T00:00:00"/>
        <d v="2025-03-23T00:00:00"/>
        <d v="2025-03-22T00:00:00"/>
        <d v="2025-03-21T00:00:00"/>
        <d v="2025-03-19T00:00:00"/>
        <d v="2025-03-18T00:00:00"/>
        <d v="2025-03-16T00:00:00"/>
        <d v="2025-03-15T00:00:00"/>
        <d v="2025-03-13T00:00:00"/>
        <d v="2025-03-12T00:00:00"/>
        <d v="2025-03-11T00:00:00"/>
        <d v="2025-03-09T00:00:00"/>
        <d v="2025-03-08T00:00:00"/>
        <d v="2025-03-06T00:00:00"/>
        <d v="2025-03-05T00:00:00"/>
        <d v="2025-03-04T00:00:00"/>
        <d v="2025-03-02T00:00:00"/>
        <d v="2025-03-01T00:00:00"/>
        <d v="2025-02-28T00:00:00"/>
        <d v="2025-02-27T00:00:00"/>
        <d v="2025-02-26T00:00:00"/>
        <d v="2025-02-25T00:00:00"/>
        <d v="2025-02-23T00:00:00"/>
        <d v="2025-02-22T00:00:00"/>
        <d v="2025-02-21T00:00:00"/>
        <d v="2025-02-20T00:00:00"/>
        <d v="2025-02-19T00:00:00"/>
        <d v="2025-02-18T00:00:00"/>
        <d v="2025-02-16T00:00:00"/>
        <d v="2025-02-15T00:00:00"/>
        <d v="2025-02-14T00:00:00"/>
        <d v="2025-02-13T00:00:00"/>
        <d v="2025-02-12T00:00:00"/>
        <d v="2025-02-11T00:00:00"/>
        <d v="2025-02-09T00:00:00"/>
        <d v="2025-02-07T00:00:00"/>
        <d v="2025-02-06T00:00:00"/>
        <d v="2025-02-05T00:00:00"/>
        <d v="2025-02-01T00:00:00"/>
        <d v="2025-01-31T00:00:00"/>
        <d v="2025-01-29T00:00:00"/>
        <d v="2025-01-28T00:00:00"/>
        <d v="2025-01-26T00:00:00"/>
        <d v="2025-01-25T00:00:00"/>
        <d v="2025-01-24T00:00:00"/>
        <d v="2025-01-21T00:00:00"/>
        <d v="2025-01-08T00:00:00"/>
        <d v="2025-01-07T00:00:00"/>
        <d v="2025-01-05T00:00:00"/>
        <d v="2025-01-04T00:00:00"/>
        <d v="2025-01-03T00:00:00"/>
        <d v="2024-12-29T00:00:00"/>
        <d v="2024-12-27T00:00:00"/>
        <d v="2024-12-21T00:00:00"/>
        <d v="2024-12-20T00:00:00"/>
        <d v="2024-12-18T00:00:00"/>
        <d v="2024-12-17T00:00:00"/>
        <d v="2024-12-12T00:00:00"/>
        <d v="2024-12-07T00:00:00"/>
        <d v="2024-11-24T00:00:00"/>
        <d v="2024-11-22T00:00:00"/>
        <d v="2024-11-21T00:00:00"/>
        <d v="2024-11-19T00:00:00"/>
        <d v="2024-11-17T00:00:00"/>
        <d v="2024-11-06T00:00:00"/>
        <d v="2024-11-05T00:00:00"/>
        <d v="2024-11-02T00:00:00"/>
        <d v="2024-10-17T00:00:00"/>
        <d v="2024-10-16T00:00:00"/>
        <d v="2024-09-27T00:00:00"/>
        <d v="2024-08-31T00:00:00"/>
        <d v="2024-08-29T00:00:00"/>
        <d v="2024-08-27T00:00:00"/>
        <d v="2024-08-22T00:00:00"/>
        <d v="2024-08-20T00:00:00"/>
        <d v="2024-08-11T00:00:00"/>
        <d v="2024-08-08T00:00:00"/>
        <d v="2024-08-04T00:00:00"/>
        <d v="2024-08-03T00:00:00"/>
        <d v="2024-08-01T00:00:00"/>
        <d v="2024-07-07T00:00:00"/>
        <d v="2024-06-27T00:00:00"/>
        <d v="2024-06-02T00:00:00"/>
        <d v="2024-05-10T00:00:00"/>
        <d v="2024-04-27T00:00:00"/>
        <d v="2024-03-31T00:00:00"/>
        <d v="2024-03-29T00:00:00"/>
        <d v="2024-03-20T00:00:00"/>
        <d v="2024-02-25T00:00:00"/>
        <d v="2024-01-05T00:00:00"/>
        <d v="2023-12-31T00:00:00"/>
        <d v="2023-12-30T00:00:00"/>
        <d v="2023-12-13T00:00:00"/>
        <d v="2023-12-06T00:00:00"/>
        <d v="2023-12-05T00:00:00"/>
        <d v="2023-12-03T00:00:00"/>
        <d v="2023-12-02T00:00:00"/>
        <d v="2023-12-01T00:00:00"/>
        <d v="2023-11-29T00:00:00"/>
        <d v="2023-11-26T00:00:00"/>
        <d v="2023-11-24T00:00:00"/>
        <d v="2023-11-21T00:00:00"/>
        <d v="2023-11-18T00:00:00"/>
        <d v="2023-11-10T00:00:00"/>
        <d v="2023-10-27T00:00:00"/>
        <d v="2023-10-21T00:00:00"/>
        <d v="2023-10-13T00:00:00"/>
        <d v="2023-10-12T00:00:00"/>
        <d v="2023-10-11T00:00:00"/>
        <d v="2023-10-07T00:00:00"/>
        <d v="2023-09-20T00:00:00"/>
        <d v="2023-09-16T00:00:00"/>
        <d v="2023-09-07T00:00:00"/>
        <d v="2023-08-28T00:00:00"/>
        <d v="2023-08-27T00:00:00"/>
        <d v="2023-08-25T00:00:00"/>
        <d v="2023-08-17T00:00:00"/>
        <d v="2023-08-13T00:00:00"/>
        <d v="2023-08-12T00:00:00"/>
        <d v="2023-08-11T00:00:00"/>
        <d v="2023-08-08T00:00:00"/>
        <d v="2023-08-05T00:00:00"/>
        <d v="2023-07-09T00:00:00"/>
        <d v="2023-07-06T00:00:00"/>
        <d v="2023-06-25T00:00:00"/>
        <d v="2023-06-21T00:00:00"/>
        <d v="2023-04-06T00:00:00"/>
        <d v="2023-04-05T00:00:00"/>
        <d v="2023-04-04T00:00:00"/>
        <d v="2023-04-02T00:00:00"/>
        <d v="2023-03-28T00:00:00"/>
        <d v="2023-03-25T00:00:00"/>
        <d v="2023-03-16T00:00:00"/>
        <d v="2023-02-21T00:00:00"/>
        <d v="2023-02-19T00:00:00"/>
        <d v="2023-02-18T00:00:00"/>
        <d v="2023-01-06T00:00:00"/>
        <d v="2022-12-30T00:00:00"/>
        <d v="2022-11-29T00:00:00"/>
        <d v="2022-11-12T00:00:00"/>
        <d v="2022-09-11T00:00:00"/>
        <d v="2022-08-25T00:00:00"/>
        <d v="2022-08-14T00:00:00"/>
        <d v="2022-07-23T00:00:00"/>
        <d v="2022-05-28T00:00:00"/>
        <d v="2022-03-24T00:00:00"/>
        <d v="2020-02-16T00:00:00"/>
        <d v="2020-01-19T00:00:00"/>
        <d v="2019-12-21T00:00:00"/>
        <d v="2019-11-15T00:00:00"/>
      </sharedItems>
      <fieldGroup par="13" base="4">
        <rangePr groupBy="months" startDate="2019-11-15T00:00:00" endDate="2026-01-30T00:00:00"/>
        <groupItems count="14">
          <s v="&lt;15-11-2019"/>
          <s v="Jan"/>
          <s v="Feb"/>
          <s v="Mar"/>
          <s v="Apr"/>
          <s v="May"/>
          <s v="Jun"/>
          <s v="Jul"/>
          <s v="Aug"/>
          <s v="Sep"/>
          <s v="Oct"/>
          <s v="Nov"/>
          <s v="Dec"/>
          <s v="&gt;30-01-2026"/>
        </groupItems>
      </fieldGroup>
    </cacheField>
    <cacheField name="Month-Year" numFmtId="166">
      <sharedItems containsSemiMixedTypes="0" containsNonDate="0" containsDate="1" containsString="0" minDate="2019-11-30T00:00:00" maxDate="2026-02-01T00:00:00" count="47">
        <d v="2026-01-31T00:00:00"/>
        <d v="2025-12-31T00:00:00"/>
        <d v="2025-11-30T00:00:00"/>
        <d v="2025-10-31T00:00:00"/>
        <d v="2025-09-30T00:00:00"/>
        <d v="2025-08-31T00:00:00"/>
        <d v="2025-07-31T00:00:00"/>
        <d v="2025-06-30T00:00:00"/>
        <d v="2025-05-31T00:00:00"/>
        <d v="2025-04-30T00:00:00"/>
        <d v="2025-03-31T00:00:00"/>
        <d v="2025-02-28T00:00:00"/>
        <d v="2025-01-31T00:00:00"/>
        <d v="2024-12-31T00:00:00"/>
        <d v="2024-11-30T00:00:00"/>
        <d v="2024-10-31T00:00:00"/>
        <d v="2024-09-30T00:00:00"/>
        <d v="2024-08-31T00:00:00"/>
        <d v="2024-07-31T00:00:00"/>
        <d v="2024-06-30T00:00:00"/>
        <d v="2024-05-31T00:00:00"/>
        <d v="2024-04-30T00:00:00"/>
        <d v="2024-03-31T00:00:00"/>
        <d v="2024-02-29T00:00:00"/>
        <d v="2024-01-31T00:00:00"/>
        <d v="2023-12-31T00:00:00"/>
        <d v="2023-11-30T00:00:00"/>
        <d v="2023-10-31T00:00:00"/>
        <d v="2023-09-30T00:00:00"/>
        <d v="2023-08-31T00:00:00"/>
        <d v="2023-07-31T00:00:00"/>
        <d v="2023-06-30T00:00:00"/>
        <d v="2023-04-30T00:00:00"/>
        <d v="2023-03-31T00:00:00"/>
        <d v="2023-02-28T00:00:00"/>
        <d v="2023-01-31T00:00:00"/>
        <d v="2022-12-31T00:00:00"/>
        <d v="2022-11-30T00:00:00"/>
        <d v="2022-09-30T00:00:00"/>
        <d v="2022-08-31T00:00:00"/>
        <d v="2022-07-31T00:00:00"/>
        <d v="2022-05-31T00:00:00"/>
        <d v="2022-03-31T00:00:00"/>
        <d v="2020-02-29T00:00:00"/>
        <d v="2020-01-31T00:00:00"/>
        <d v="2019-12-31T00:00:00"/>
        <d v="2019-11-30T00:00:00"/>
      </sharedItems>
    </cacheField>
    <cacheField name="Duration (Sec)" numFmtId="1">
      <sharedItems containsSemiMixedTypes="0" containsString="0" containsNumber="1" containsInteger="1" minValue="6" maxValue="1465"/>
    </cacheField>
    <cacheField name="Views" numFmtId="1">
      <sharedItems containsSemiMixedTypes="0" containsString="0" containsNumber="1" containsInteger="1" minValue="594" maxValue="77801"/>
    </cacheField>
    <cacheField name="Watch time (Hours)" numFmtId="2">
      <sharedItems containsSemiMixedTypes="0" containsString="0" containsNumber="1" minValue="0.80810000000000004" maxValue="2536.3398000000002"/>
    </cacheField>
    <cacheField name="Subscribers" numFmtId="1">
      <sharedItems containsSemiMixedTypes="0" containsString="0" containsNumber="1" containsInteger="1" minValue="0" maxValue="59" count="37">
        <n v="0"/>
        <n v="2"/>
        <n v="1"/>
        <n v="3"/>
        <n v="4"/>
        <n v="7"/>
        <n v="5"/>
        <n v="11"/>
        <n v="8"/>
        <n v="6"/>
        <n v="9"/>
        <n v="10"/>
        <n v="13"/>
        <n v="12"/>
        <n v="15"/>
        <n v="16"/>
        <n v="19"/>
        <n v="14"/>
        <n v="20"/>
        <n v="23"/>
        <n v="22"/>
        <n v="28"/>
        <n v="21"/>
        <n v="27"/>
        <n v="31"/>
        <n v="34"/>
        <n v="33"/>
        <n v="29"/>
        <n v="24"/>
        <n v="17"/>
        <n v="18"/>
        <n v="26"/>
        <n v="44"/>
        <n v="41"/>
        <n v="35"/>
        <n v="59"/>
        <n v="42"/>
      </sharedItems>
    </cacheField>
    <cacheField name="Estimated Revenue (INR)" numFmtId="164">
      <sharedItems containsString="0" containsBlank="1" containsNumber="1" minValue="1E-3" maxValue="459.79599999999999"/>
    </cacheField>
    <cacheField name="Impressions" numFmtId="1">
      <sharedItems containsSemiMixedTypes="0" containsString="0" containsNumber="1" containsInteger="1" minValue="330" maxValue="349477"/>
    </cacheField>
    <cacheField name="Impressions Click-Through Rate (%)" numFmtId="2">
      <sharedItems containsSemiMixedTypes="0" containsString="0" containsNumber="1" minValue="1.21" maxValue="20.48"/>
    </cacheField>
    <cacheField name="Years" numFmtId="0" databaseField="0">
      <fieldGroup base="4">
        <rangePr groupBy="years" startDate="2019-11-15T00:00:00" endDate="2026-01-30T00:00:00"/>
        <groupItems count="10">
          <s v="&lt;15-11-2019"/>
          <s v="2019"/>
          <s v="2020"/>
          <s v="2021"/>
          <s v="2022"/>
          <s v="2023"/>
          <s v="2024"/>
          <s v="2025"/>
          <s v="2026"/>
          <s v="&gt;30-01-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
  <r>
    <x v="0"/>
    <x v="0"/>
    <n v="1.8E-3"/>
    <n v="8.9999999999999998E-4"/>
  </r>
  <r>
    <x v="0"/>
    <x v="1"/>
    <n v="3.5999999999999999E-3"/>
    <n v="2.3E-3"/>
  </r>
  <r>
    <x v="1"/>
    <x v="0"/>
    <n v="3.5900000000000001E-2"/>
    <n v="2.8300000000000002E-2"/>
  </r>
  <r>
    <x v="1"/>
    <x v="1"/>
    <n v="7.5800000000000006E-2"/>
    <n v="6.7799999999999999E-2"/>
  </r>
  <r>
    <x v="2"/>
    <x v="0"/>
    <n v="0.1114"/>
    <n v="0.10400000000000001"/>
  </r>
  <r>
    <x v="2"/>
    <x v="1"/>
    <n v="0.2389"/>
    <n v="0.2525"/>
  </r>
  <r>
    <x v="3"/>
    <x v="0"/>
    <n v="9.1199999999999989E-2"/>
    <n v="8.3900000000000002E-2"/>
  </r>
  <r>
    <x v="3"/>
    <x v="1"/>
    <n v="0.1938"/>
    <n v="0.19450000000000001"/>
  </r>
  <r>
    <x v="4"/>
    <x v="0"/>
    <n v="5.9200000000000003E-2"/>
    <n v="5.9200000000000003E-2"/>
  </r>
  <r>
    <x v="4"/>
    <x v="1"/>
    <n v="8.3800000000000013E-2"/>
    <n v="8.7400000000000005E-2"/>
  </r>
  <r>
    <x v="5"/>
    <x v="0"/>
    <n v="2.6699999999999998E-2"/>
    <n v="2.86E-2"/>
  </r>
  <r>
    <x v="5"/>
    <x v="1"/>
    <n v="4.87E-2"/>
    <n v="5.5599999999999997E-2"/>
  </r>
  <r>
    <x v="6"/>
    <x v="0"/>
    <n v="8.199999999999999E-3"/>
    <n v="8.199999999999999E-3"/>
  </r>
  <r>
    <x v="6"/>
    <x v="1"/>
    <n v="2.1000000000000001E-2"/>
    <n v="2.7000000000000003E-2"/>
  </r>
</pivotCacheRecords>
</file>

<file path=xl/pivotCache/pivotCacheRecords2.xml><?xml version="1.0" encoding="utf-8"?>
<pivotCacheRecords xmlns="http://schemas.openxmlformats.org/spreadsheetml/2006/main" xmlns:r="http://schemas.openxmlformats.org/officeDocument/2006/relationships" count="499">
  <r>
    <s v="ILCknkgH4dc"/>
    <x v="0"/>
    <x v="0"/>
    <x v="0"/>
    <x v="0"/>
    <x v="0"/>
    <n v="53"/>
    <n v="927"/>
    <n v="1.7768999999999999"/>
    <x v="0"/>
    <n v="0.25800000000000001"/>
    <n v="987"/>
    <n v="7.5"/>
  </r>
  <r>
    <s v="fdR33VAOExA"/>
    <x v="1"/>
    <x v="1"/>
    <x v="0"/>
    <x v="1"/>
    <x v="0"/>
    <n v="95"/>
    <n v="772"/>
    <n v="1.4882"/>
    <x v="0"/>
    <n v="0.20200000000000001"/>
    <n v="994"/>
    <n v="5.23"/>
  </r>
  <r>
    <s v="uaZYU0U6RJE"/>
    <x v="2"/>
    <x v="2"/>
    <x v="1"/>
    <x v="2"/>
    <x v="0"/>
    <n v="65"/>
    <n v="1266"/>
    <n v="5.0406000000000004"/>
    <x v="1"/>
    <n v="0.50700000000000001"/>
    <n v="1263"/>
    <n v="8.08"/>
  </r>
  <r>
    <s v="Xs_Ct1wQT-U"/>
    <x v="3"/>
    <x v="3"/>
    <x v="1"/>
    <x v="2"/>
    <x v="0"/>
    <n v="61"/>
    <n v="790"/>
    <n v="3.2665999999999999"/>
    <x v="0"/>
    <n v="0.433"/>
    <n v="1442"/>
    <n v="6.24"/>
  </r>
  <r>
    <s v="_wJARL5sGM0"/>
    <x v="4"/>
    <x v="4"/>
    <x v="1"/>
    <x v="3"/>
    <x v="0"/>
    <n v="55"/>
    <n v="833"/>
    <n v="2.7587000000000002"/>
    <x v="0"/>
    <n v="0.39700000000000002"/>
    <n v="1248"/>
    <n v="5.61"/>
  </r>
  <r>
    <s v="UB-c3egtNKQ"/>
    <x v="5"/>
    <x v="5"/>
    <x v="1"/>
    <x v="3"/>
    <x v="0"/>
    <n v="64"/>
    <n v="639"/>
    <n v="2.5716000000000001"/>
    <x v="0"/>
    <n v="0.50800000000000001"/>
    <n v="1394"/>
    <n v="6.89"/>
  </r>
  <r>
    <s v="fQmXrlbRThY"/>
    <x v="6"/>
    <x v="6"/>
    <x v="1"/>
    <x v="4"/>
    <x v="0"/>
    <n v="34"/>
    <n v="1430"/>
    <n v="4.4584000000000001"/>
    <x v="0"/>
    <n v="1.2849999999999999"/>
    <n v="1709"/>
    <n v="7.72"/>
  </r>
  <r>
    <s v="IAVf5y5M-aQ"/>
    <x v="7"/>
    <x v="7"/>
    <x v="1"/>
    <x v="4"/>
    <x v="0"/>
    <n v="147"/>
    <n v="685"/>
    <n v="4.5221"/>
    <x v="0"/>
    <n v="0.38100000000000001"/>
    <n v="1890"/>
    <n v="6.4"/>
  </r>
  <r>
    <s v="Up9nYvMIuQo"/>
    <x v="8"/>
    <x v="8"/>
    <x v="1"/>
    <x v="5"/>
    <x v="0"/>
    <n v="57"/>
    <n v="822"/>
    <n v="2.4489000000000001"/>
    <x v="0"/>
    <n v="0.38"/>
    <n v="1130"/>
    <n v="5.75"/>
  </r>
  <r>
    <s v="4sqQqavWh58"/>
    <x v="9"/>
    <x v="9"/>
    <x v="1"/>
    <x v="5"/>
    <x v="0"/>
    <n v="61"/>
    <n v="711"/>
    <n v="3.1505999999999998"/>
    <x v="0"/>
    <n v="0.40100000000000002"/>
    <n v="809"/>
    <n v="6.92"/>
  </r>
  <r>
    <s v="nnmhBhTtPIY"/>
    <x v="10"/>
    <x v="10"/>
    <x v="1"/>
    <x v="6"/>
    <x v="0"/>
    <n v="96"/>
    <n v="906"/>
    <n v="2.2353000000000001"/>
    <x v="0"/>
    <n v="0.27300000000000002"/>
    <n v="1701"/>
    <n v="3.59"/>
  </r>
  <r>
    <s v="NZgzq4eVp1I"/>
    <x v="11"/>
    <x v="11"/>
    <x v="1"/>
    <x v="7"/>
    <x v="0"/>
    <n v="40"/>
    <n v="997"/>
    <n v="3.3751000000000002"/>
    <x v="0"/>
    <n v="0.42099999999999999"/>
    <n v="1798"/>
    <n v="6.73"/>
  </r>
  <r>
    <s v="t00wwQ6uslU"/>
    <x v="12"/>
    <x v="12"/>
    <x v="1"/>
    <x v="8"/>
    <x v="0"/>
    <n v="67"/>
    <n v="694"/>
    <n v="2.3410000000000002"/>
    <x v="0"/>
    <n v="0.20799999999999999"/>
    <n v="961"/>
    <n v="4.16"/>
  </r>
  <r>
    <s v="_iaGMz04-XA"/>
    <x v="13"/>
    <x v="13"/>
    <x v="1"/>
    <x v="8"/>
    <x v="0"/>
    <n v="65"/>
    <n v="608"/>
    <n v="2.1478000000000002"/>
    <x v="0"/>
    <n v="0.23599999999999999"/>
    <n v="1462"/>
    <n v="7.05"/>
  </r>
  <r>
    <s v="WESgA-B9dh8"/>
    <x v="14"/>
    <x v="14"/>
    <x v="1"/>
    <x v="9"/>
    <x v="0"/>
    <n v="83"/>
    <n v="843"/>
    <n v="3.0672999999999999"/>
    <x v="0"/>
    <n v="0.29499999999999998"/>
    <n v="1472"/>
    <n v="5.0999999999999996"/>
  </r>
  <r>
    <s v="4eB7Uw-M5XE"/>
    <x v="15"/>
    <x v="15"/>
    <x v="1"/>
    <x v="10"/>
    <x v="0"/>
    <n v="58"/>
    <n v="1438"/>
    <n v="4.2077999999999998"/>
    <x v="1"/>
    <n v="0.61"/>
    <n v="1866"/>
    <n v="4.93"/>
  </r>
  <r>
    <s v="5MRKGJLacCw"/>
    <x v="16"/>
    <x v="16"/>
    <x v="1"/>
    <x v="10"/>
    <x v="0"/>
    <n v="48"/>
    <n v="1107"/>
    <n v="2.8083"/>
    <x v="2"/>
    <n v="0.33"/>
    <n v="1857"/>
    <n v="5.44"/>
  </r>
  <r>
    <s v="Qs2iAVxq78Y"/>
    <x v="17"/>
    <x v="17"/>
    <x v="1"/>
    <x v="10"/>
    <x v="0"/>
    <n v="46"/>
    <n v="821"/>
    <n v="2.0886999999999998"/>
    <x v="0"/>
    <n v="0.23699999999999999"/>
    <n v="1706"/>
    <n v="5.92"/>
  </r>
  <r>
    <s v="OEJj5A37UY8"/>
    <x v="18"/>
    <x v="18"/>
    <x v="1"/>
    <x v="11"/>
    <x v="0"/>
    <n v="85"/>
    <n v="967"/>
    <n v="4.7295999999999996"/>
    <x v="3"/>
    <n v="0.373"/>
    <n v="1326"/>
    <n v="7.69"/>
  </r>
  <r>
    <s v="NzKOwpFSE1k"/>
    <x v="19"/>
    <x v="19"/>
    <x v="1"/>
    <x v="12"/>
    <x v="0"/>
    <n v="37"/>
    <n v="1412"/>
    <n v="5.0517000000000003"/>
    <x v="2"/>
    <n v="0.68600000000000005"/>
    <n v="3318"/>
    <n v="6.72"/>
  </r>
  <r>
    <s v="o0hXJSCzZqY"/>
    <x v="20"/>
    <x v="20"/>
    <x v="1"/>
    <x v="12"/>
    <x v="0"/>
    <n v="60"/>
    <n v="1375"/>
    <n v="6.4512"/>
    <x v="1"/>
    <n v="0.56899999999999995"/>
    <n v="3306"/>
    <n v="6.56"/>
  </r>
  <r>
    <s v="388VaDlkAI8"/>
    <x v="21"/>
    <x v="21"/>
    <x v="1"/>
    <x v="12"/>
    <x v="0"/>
    <n v="54"/>
    <n v="1140"/>
    <n v="4.8726000000000003"/>
    <x v="0"/>
    <n v="0.51400000000000001"/>
    <n v="2218"/>
    <n v="5.55"/>
  </r>
  <r>
    <s v="fNQt6QlSfkA"/>
    <x v="22"/>
    <x v="22"/>
    <x v="1"/>
    <x v="13"/>
    <x v="0"/>
    <n v="66"/>
    <n v="935"/>
    <n v="2.4636999999999998"/>
    <x v="2"/>
    <n v="0.29699999999999999"/>
    <n v="1368"/>
    <n v="4.3899999999999997"/>
  </r>
  <r>
    <s v="q1s6qdufQoI"/>
    <x v="23"/>
    <x v="23"/>
    <x v="1"/>
    <x v="13"/>
    <x v="0"/>
    <n v="37"/>
    <n v="784"/>
    <n v="2.2336999999999998"/>
    <x v="0"/>
    <n v="0.36899999999999999"/>
    <n v="3309"/>
    <n v="5.86"/>
  </r>
  <r>
    <s v="SYAXxgHRy_A"/>
    <x v="24"/>
    <x v="24"/>
    <x v="1"/>
    <x v="14"/>
    <x v="0"/>
    <n v="87"/>
    <n v="960"/>
    <n v="2.8746"/>
    <x v="0"/>
    <n v="0.51700000000000002"/>
    <n v="1931"/>
    <n v="4.45"/>
  </r>
  <r>
    <s v="uo-Zn-UxlXI"/>
    <x v="25"/>
    <x v="25"/>
    <x v="1"/>
    <x v="14"/>
    <x v="0"/>
    <n v="54"/>
    <n v="870"/>
    <n v="2.4237000000000002"/>
    <x v="0"/>
    <n v="0.307"/>
    <n v="2116"/>
    <n v="6.14"/>
  </r>
  <r>
    <s v="RXaI8vGalOo"/>
    <x v="26"/>
    <x v="26"/>
    <x v="1"/>
    <x v="14"/>
    <x v="0"/>
    <n v="79"/>
    <n v="749"/>
    <n v="5.5186999999999999"/>
    <x v="0"/>
    <n v="0.30199999999999999"/>
    <n v="1930"/>
    <n v="6.63"/>
  </r>
  <r>
    <s v="P73UKJBk188"/>
    <x v="27"/>
    <x v="27"/>
    <x v="1"/>
    <x v="14"/>
    <x v="0"/>
    <n v="90"/>
    <n v="660"/>
    <n v="1.9107000000000001"/>
    <x v="0"/>
    <n v="0.17599999999999999"/>
    <n v="1010"/>
    <n v="5.74"/>
  </r>
  <r>
    <s v="l2WY7b_ngXg"/>
    <x v="28"/>
    <x v="28"/>
    <x v="1"/>
    <x v="15"/>
    <x v="0"/>
    <n v="44"/>
    <n v="945"/>
    <n v="3.4967999999999999"/>
    <x v="4"/>
    <n v="0.49299999999999999"/>
    <n v="2209"/>
    <n v="6.02"/>
  </r>
  <r>
    <s v="74ohb-1rjYc"/>
    <x v="29"/>
    <x v="29"/>
    <x v="1"/>
    <x v="15"/>
    <x v="0"/>
    <n v="72"/>
    <n v="802"/>
    <n v="1.9971000000000001"/>
    <x v="0"/>
    <n v="0.246"/>
    <n v="1616"/>
    <n v="5.51"/>
  </r>
  <r>
    <s v="Zf8jeC6ABfM"/>
    <x v="30"/>
    <x v="30"/>
    <x v="1"/>
    <x v="16"/>
    <x v="1"/>
    <n v="46"/>
    <n v="1280"/>
    <n v="4.9279000000000002"/>
    <x v="0"/>
    <n v="0.624"/>
    <n v="2354"/>
    <n v="9.52"/>
  </r>
  <r>
    <s v="cyAjVJF-2aw"/>
    <x v="31"/>
    <x v="31"/>
    <x v="1"/>
    <x v="16"/>
    <x v="1"/>
    <n v="186"/>
    <n v="731"/>
    <n v="19.166399999999999"/>
    <x v="1"/>
    <n v="50.521000000000001"/>
    <n v="5116"/>
    <n v="12.35"/>
  </r>
  <r>
    <s v="G7cq_gP0-0w"/>
    <x v="32"/>
    <x v="32"/>
    <x v="1"/>
    <x v="17"/>
    <x v="1"/>
    <n v="41"/>
    <n v="1038"/>
    <n v="2.3111999999999999"/>
    <x v="0"/>
    <n v="0.33200000000000002"/>
    <n v="1161"/>
    <n v="3.96"/>
  </r>
  <r>
    <s v="hM_tHXJjSec"/>
    <x v="33"/>
    <x v="33"/>
    <x v="1"/>
    <x v="17"/>
    <x v="1"/>
    <n v="83"/>
    <n v="846"/>
    <n v="4.1250999999999998"/>
    <x v="1"/>
    <n v="0.35299999999999998"/>
    <n v="835"/>
    <n v="4.67"/>
  </r>
  <r>
    <s v="zqZYt4CTsCo"/>
    <x v="34"/>
    <x v="34"/>
    <x v="1"/>
    <x v="17"/>
    <x v="1"/>
    <n v="41"/>
    <n v="635"/>
    <n v="1.6830000000000001"/>
    <x v="2"/>
    <n v="0.51400000000000001"/>
    <n v="1770"/>
    <n v="6.67"/>
  </r>
  <r>
    <s v="7Oyi0KB2cxU"/>
    <x v="35"/>
    <x v="35"/>
    <x v="1"/>
    <x v="18"/>
    <x v="1"/>
    <n v="58"/>
    <n v="1168"/>
    <n v="5.2217000000000002"/>
    <x v="1"/>
    <n v="0.62"/>
    <n v="3744"/>
    <n v="8.84"/>
  </r>
  <r>
    <s v="QWn-6xDMamA"/>
    <x v="36"/>
    <x v="36"/>
    <x v="1"/>
    <x v="18"/>
    <x v="1"/>
    <n v="46"/>
    <n v="827"/>
    <n v="2.8075999999999999"/>
    <x v="0"/>
    <n v="0.56899999999999995"/>
    <n v="2442"/>
    <n v="6.88"/>
  </r>
  <r>
    <s v="ArF3JX5DqNM"/>
    <x v="37"/>
    <x v="37"/>
    <x v="1"/>
    <x v="18"/>
    <x v="1"/>
    <n v="347"/>
    <n v="800"/>
    <n v="26.5352"/>
    <x v="0"/>
    <n v="61.156999999999996"/>
    <n v="8264"/>
    <n v="8.2899999999999991"/>
  </r>
  <r>
    <s v="8KYFPitLIKY"/>
    <x v="38"/>
    <x v="38"/>
    <x v="1"/>
    <x v="18"/>
    <x v="1"/>
    <n v="40"/>
    <n v="783"/>
    <n v="2.5419"/>
    <x v="2"/>
    <n v="0.36599999999999999"/>
    <n v="1853"/>
    <n v="6.85"/>
  </r>
  <r>
    <s v="u-T8EVJL2y8"/>
    <x v="39"/>
    <x v="39"/>
    <x v="1"/>
    <x v="19"/>
    <x v="1"/>
    <n v="51"/>
    <n v="1253"/>
    <n v="4.0956999999999999"/>
    <x v="0"/>
    <n v="0.63700000000000001"/>
    <n v="2423"/>
    <n v="3.38"/>
  </r>
  <r>
    <s v="G5WpV7wmieU"/>
    <x v="40"/>
    <x v="40"/>
    <x v="1"/>
    <x v="19"/>
    <x v="1"/>
    <n v="43"/>
    <n v="631"/>
    <n v="1.9703999999999999"/>
    <x v="1"/>
    <n v="0.34200000000000003"/>
    <n v="1336"/>
    <n v="6.44"/>
  </r>
  <r>
    <s v="Xt3NiLPdpGQ"/>
    <x v="41"/>
    <x v="41"/>
    <x v="1"/>
    <x v="20"/>
    <x v="1"/>
    <n v="89"/>
    <n v="817"/>
    <n v="4.0063000000000004"/>
    <x v="2"/>
    <n v="0.49199999999999999"/>
    <n v="2787"/>
    <n v="6.42"/>
  </r>
  <r>
    <s v="xfF2Km-zQLU"/>
    <x v="42"/>
    <x v="42"/>
    <x v="1"/>
    <x v="21"/>
    <x v="1"/>
    <n v="71"/>
    <n v="1056"/>
    <n v="2.8607999999999998"/>
    <x v="2"/>
    <n v="0.41699999999999998"/>
    <n v="1554"/>
    <n v="5.47"/>
  </r>
  <r>
    <s v="cWAcZZ6iuuA"/>
    <x v="43"/>
    <x v="43"/>
    <x v="1"/>
    <x v="22"/>
    <x v="1"/>
    <n v="29"/>
    <n v="1054"/>
    <n v="1.9562999999999999"/>
    <x v="2"/>
    <n v="0.39800000000000002"/>
    <n v="1489"/>
    <n v="4.5"/>
  </r>
  <r>
    <s v="TUXKdsGXQOM"/>
    <x v="44"/>
    <x v="44"/>
    <x v="1"/>
    <x v="22"/>
    <x v="1"/>
    <n v="45"/>
    <n v="832"/>
    <n v="2.3344"/>
    <x v="2"/>
    <n v="0.33900000000000002"/>
    <n v="1965"/>
    <n v="8.14"/>
  </r>
  <r>
    <s v="iW-qSSCROpw"/>
    <x v="45"/>
    <x v="45"/>
    <x v="1"/>
    <x v="22"/>
    <x v="1"/>
    <n v="79"/>
    <n v="636"/>
    <n v="2.1372"/>
    <x v="2"/>
    <n v="0.31900000000000001"/>
    <n v="1296"/>
    <n v="6.4"/>
  </r>
  <r>
    <s v="o1QCJksM4fA"/>
    <x v="46"/>
    <x v="46"/>
    <x v="1"/>
    <x v="23"/>
    <x v="1"/>
    <n v="78"/>
    <n v="1207"/>
    <n v="3.5874000000000001"/>
    <x v="5"/>
    <n v="0.57499999999999996"/>
    <n v="2030"/>
    <n v="6.4"/>
  </r>
  <r>
    <s v="8iwzceyOj7w"/>
    <x v="47"/>
    <x v="47"/>
    <x v="1"/>
    <x v="24"/>
    <x v="1"/>
    <n v="59"/>
    <n v="1021"/>
    <n v="2.7202999999999999"/>
    <x v="0"/>
    <n v="0.82699999999999996"/>
    <n v="1636"/>
    <n v="7.03"/>
  </r>
  <r>
    <s v="RLFYWTXQm88"/>
    <x v="48"/>
    <x v="48"/>
    <x v="1"/>
    <x v="24"/>
    <x v="1"/>
    <n v="109"/>
    <n v="901"/>
    <n v="1.7501"/>
    <x v="0"/>
    <n v="0.17899999999999999"/>
    <n v="989"/>
    <n v="5.0599999999999996"/>
  </r>
  <r>
    <s v="jFMij3AKKjA"/>
    <x v="49"/>
    <x v="49"/>
    <x v="1"/>
    <x v="25"/>
    <x v="1"/>
    <n v="68"/>
    <n v="848"/>
    <n v="3.569"/>
    <x v="2"/>
    <n v="0.48199999999999998"/>
    <n v="2079"/>
    <n v="6.73"/>
  </r>
  <r>
    <s v="5PE4zTRUf4U"/>
    <x v="50"/>
    <x v="50"/>
    <x v="1"/>
    <x v="26"/>
    <x v="1"/>
    <n v="60"/>
    <n v="1351"/>
    <n v="3.9260999999999999"/>
    <x v="2"/>
    <n v="0.58199999999999996"/>
    <n v="2599"/>
    <n v="6.39"/>
  </r>
  <r>
    <s v="8jtQTzmf0OE"/>
    <x v="51"/>
    <x v="51"/>
    <x v="1"/>
    <x v="26"/>
    <x v="1"/>
    <n v="88"/>
    <n v="1200"/>
    <n v="8.2568000000000001"/>
    <x v="2"/>
    <n v="0.66700000000000004"/>
    <n v="3469"/>
    <n v="7.03"/>
  </r>
  <r>
    <s v="hBfHfNnZBio"/>
    <x v="52"/>
    <x v="52"/>
    <x v="1"/>
    <x v="26"/>
    <x v="1"/>
    <n v="17"/>
    <n v="840"/>
    <n v="0.80810000000000004"/>
    <x v="0"/>
    <n v="0.14199999999999999"/>
    <n v="1402"/>
    <n v="6.13"/>
  </r>
  <r>
    <s v="O8k3ggO266k"/>
    <x v="53"/>
    <x v="53"/>
    <x v="1"/>
    <x v="27"/>
    <x v="1"/>
    <n v="55"/>
    <n v="1235"/>
    <n v="5.8745000000000003"/>
    <x v="1"/>
    <n v="0.60199999999999998"/>
    <n v="2753"/>
    <n v="8.06"/>
  </r>
  <r>
    <s v="90Jrojt1F6M"/>
    <x v="54"/>
    <x v="54"/>
    <x v="1"/>
    <x v="28"/>
    <x v="1"/>
    <n v="45"/>
    <n v="2416"/>
    <n v="8.5599000000000007"/>
    <x v="2"/>
    <n v="1.145"/>
    <n v="4041"/>
    <n v="6.36"/>
  </r>
  <r>
    <s v="4bVTYdBybzY"/>
    <x v="55"/>
    <x v="55"/>
    <x v="1"/>
    <x v="29"/>
    <x v="1"/>
    <n v="58"/>
    <n v="1264"/>
    <n v="4.1852999999999998"/>
    <x v="2"/>
    <n v="0.48"/>
    <n v="912"/>
    <n v="4.17"/>
  </r>
  <r>
    <s v="hUNi1Hyckls"/>
    <x v="56"/>
    <x v="56"/>
    <x v="1"/>
    <x v="29"/>
    <x v="1"/>
    <n v="62"/>
    <n v="1002"/>
    <n v="4.96"/>
    <x v="0"/>
    <n v="0.46800000000000003"/>
    <n v="2331"/>
    <n v="8.24"/>
  </r>
  <r>
    <s v="_YMo65PAPUU"/>
    <x v="57"/>
    <x v="57"/>
    <x v="1"/>
    <x v="30"/>
    <x v="1"/>
    <n v="65"/>
    <n v="1527"/>
    <n v="7.5301"/>
    <x v="0"/>
    <n v="0.68500000000000005"/>
    <n v="2180"/>
    <n v="6.74"/>
  </r>
  <r>
    <s v="J43Qg85v-7c"/>
    <x v="58"/>
    <x v="58"/>
    <x v="1"/>
    <x v="30"/>
    <x v="1"/>
    <n v="91"/>
    <n v="919"/>
    <n v="4.0193000000000003"/>
    <x v="0"/>
    <n v="0.57199999999999995"/>
    <n v="2610"/>
    <n v="7.59"/>
  </r>
  <r>
    <s v="Wmae2BhabOA"/>
    <x v="59"/>
    <x v="59"/>
    <x v="1"/>
    <x v="30"/>
    <x v="1"/>
    <n v="57"/>
    <n v="629"/>
    <n v="2.3801000000000001"/>
    <x v="0"/>
    <n v="0.311"/>
    <n v="901"/>
    <n v="6.44"/>
  </r>
  <r>
    <s v="hXsohznCzLI"/>
    <x v="60"/>
    <x v="60"/>
    <x v="1"/>
    <x v="31"/>
    <x v="1"/>
    <n v="62"/>
    <n v="618"/>
    <n v="2.9763000000000002"/>
    <x v="0"/>
    <n v="0.28299999999999997"/>
    <n v="1941"/>
    <n v="7.32"/>
  </r>
  <r>
    <s v="HjiSq60QLMk"/>
    <x v="61"/>
    <x v="61"/>
    <x v="1"/>
    <x v="32"/>
    <x v="1"/>
    <n v="65"/>
    <n v="33514"/>
    <n v="226.5643"/>
    <x v="4"/>
    <n v="0.86499999999999999"/>
    <n v="1986"/>
    <n v="7.35"/>
  </r>
  <r>
    <s v="Goe36Iz2kOw"/>
    <x v="62"/>
    <x v="62"/>
    <x v="1"/>
    <x v="32"/>
    <x v="1"/>
    <n v="23"/>
    <n v="1188"/>
    <n v="2.6086999999999998"/>
    <x v="0"/>
    <n v="0.64800000000000002"/>
    <n v="1907"/>
    <n v="6.66"/>
  </r>
  <r>
    <s v="zudwmlAMWt4"/>
    <x v="63"/>
    <x v="63"/>
    <x v="1"/>
    <x v="33"/>
    <x v="1"/>
    <n v="38"/>
    <n v="998"/>
    <n v="2.3410000000000002"/>
    <x v="0"/>
    <n v="0.41299999999999998"/>
    <n v="795"/>
    <n v="4.6500000000000004"/>
  </r>
  <r>
    <s v="QTl8m9nolDk"/>
    <x v="64"/>
    <x v="3"/>
    <x v="1"/>
    <x v="33"/>
    <x v="1"/>
    <n v="79"/>
    <n v="712"/>
    <n v="3.5333999999999999"/>
    <x v="0"/>
    <n v="0.312"/>
    <n v="1773"/>
    <n v="6.54"/>
  </r>
  <r>
    <s v="7rl072nasMQ"/>
    <x v="65"/>
    <x v="64"/>
    <x v="1"/>
    <x v="34"/>
    <x v="1"/>
    <n v="93"/>
    <n v="975"/>
    <n v="3.0175000000000001"/>
    <x v="0"/>
    <n v="0.42699999999999999"/>
    <n v="1610"/>
    <n v="7.89"/>
  </r>
  <r>
    <s v="TWR2ijnBkL0"/>
    <x v="66"/>
    <x v="65"/>
    <x v="1"/>
    <x v="35"/>
    <x v="1"/>
    <n v="89"/>
    <n v="2160"/>
    <n v="15.816000000000001"/>
    <x v="2"/>
    <n v="2.0409999999999999"/>
    <n v="1507"/>
    <n v="5.18"/>
  </r>
  <r>
    <s v="43mJjcUJErM"/>
    <x v="67"/>
    <x v="66"/>
    <x v="1"/>
    <x v="35"/>
    <x v="1"/>
    <n v="111"/>
    <n v="941"/>
    <n v="2.8603000000000001"/>
    <x v="2"/>
    <n v="0.42099999999999999"/>
    <n v="2570"/>
    <n v="6.19"/>
  </r>
  <r>
    <s v="PXfyncYPd3w"/>
    <x v="68"/>
    <x v="67"/>
    <x v="1"/>
    <x v="36"/>
    <x v="1"/>
    <n v="68"/>
    <n v="1631"/>
    <n v="6.3701999999999996"/>
    <x v="1"/>
    <n v="0.89700000000000002"/>
    <n v="2105"/>
    <n v="7.03"/>
  </r>
  <r>
    <s v="WiBXT7BAD7c"/>
    <x v="69"/>
    <x v="68"/>
    <x v="1"/>
    <x v="37"/>
    <x v="1"/>
    <n v="43"/>
    <n v="1065"/>
    <n v="3.3077999999999999"/>
    <x v="0"/>
    <n v="0.31900000000000001"/>
    <n v="1088"/>
    <n v="4.87"/>
  </r>
  <r>
    <s v="1_FWgqgOjro"/>
    <x v="70"/>
    <x v="69"/>
    <x v="1"/>
    <x v="38"/>
    <x v="1"/>
    <n v="91"/>
    <n v="9303"/>
    <n v="59.853700000000003"/>
    <x v="0"/>
    <n v="0.57499999999999996"/>
    <n v="1478"/>
    <n v="5.48"/>
  </r>
  <r>
    <s v="3usXfQX756Q"/>
    <x v="71"/>
    <x v="70"/>
    <x v="1"/>
    <x v="38"/>
    <x v="1"/>
    <n v="31"/>
    <n v="1026"/>
    <n v="2.1894999999999998"/>
    <x v="2"/>
    <n v="0.46100000000000002"/>
    <n v="3016"/>
    <n v="5.34"/>
  </r>
  <r>
    <s v="BICe5CoOwkM"/>
    <x v="72"/>
    <x v="71"/>
    <x v="1"/>
    <x v="39"/>
    <x v="1"/>
    <n v="93"/>
    <n v="4113"/>
    <n v="22.4864"/>
    <x v="2"/>
    <n v="0.23799999999999999"/>
    <n v="1520"/>
    <n v="5.46"/>
  </r>
  <r>
    <s v="wKivvpCQ-X0"/>
    <x v="73"/>
    <x v="72"/>
    <x v="1"/>
    <x v="40"/>
    <x v="2"/>
    <n v="91"/>
    <n v="1454"/>
    <n v="4.5056000000000003"/>
    <x v="0"/>
    <n v="0.30299999999999999"/>
    <n v="1235"/>
    <n v="4.37"/>
  </r>
  <r>
    <s v="HLkyeHQPYng"/>
    <x v="74"/>
    <x v="73"/>
    <x v="1"/>
    <x v="40"/>
    <x v="2"/>
    <n v="78"/>
    <n v="720"/>
    <n v="5.4810999999999996"/>
    <x v="0"/>
    <n v="0.29199999999999998"/>
    <n v="1203"/>
    <n v="7.07"/>
  </r>
  <r>
    <s v="PNGfyRbRcDU"/>
    <x v="75"/>
    <x v="74"/>
    <x v="1"/>
    <x v="41"/>
    <x v="2"/>
    <n v="44"/>
    <n v="1727"/>
    <n v="6.3006000000000002"/>
    <x v="3"/>
    <n v="0.60499999999999998"/>
    <n v="1755"/>
    <n v="6.15"/>
  </r>
  <r>
    <s v="bJ4tUp5XBXc"/>
    <x v="76"/>
    <x v="75"/>
    <x v="1"/>
    <x v="41"/>
    <x v="2"/>
    <n v="143"/>
    <n v="631"/>
    <n v="14.3324"/>
    <x v="1"/>
    <n v="60.731999999999999"/>
    <n v="4545"/>
    <n v="8.49"/>
  </r>
  <r>
    <s v="7Qyy844rmQY"/>
    <x v="77"/>
    <x v="76"/>
    <x v="1"/>
    <x v="42"/>
    <x v="2"/>
    <n v="48"/>
    <n v="1074"/>
    <n v="4.7744999999999997"/>
    <x v="0"/>
    <n v="0.76700000000000002"/>
    <n v="2031"/>
    <n v="7.48"/>
  </r>
  <r>
    <s v="or5lDMXBKTQ"/>
    <x v="78"/>
    <x v="77"/>
    <x v="1"/>
    <x v="43"/>
    <x v="2"/>
    <n v="66"/>
    <n v="8851"/>
    <n v="40.32"/>
    <x v="0"/>
    <n v="0.21199999999999999"/>
    <n v="1665"/>
    <n v="5.29"/>
  </r>
  <r>
    <s v="8Wk6QwbqgVc"/>
    <x v="79"/>
    <x v="78"/>
    <x v="2"/>
    <x v="44"/>
    <x v="2"/>
    <n v="431"/>
    <n v="1240"/>
    <n v="55.024999999999999"/>
    <x v="6"/>
    <n v="110.011"/>
    <n v="8560"/>
    <n v="10.88"/>
  </r>
  <r>
    <s v="zscdUW6PRGg"/>
    <x v="80"/>
    <x v="79"/>
    <x v="2"/>
    <x v="45"/>
    <x v="2"/>
    <n v="85"/>
    <n v="853"/>
    <n v="5.0373000000000001"/>
    <x v="2"/>
    <n v="0.41699999999999998"/>
    <n v="2531"/>
    <n v="8.9700000000000006"/>
  </r>
  <r>
    <s v="lt0Osu649EU"/>
    <x v="81"/>
    <x v="80"/>
    <x v="2"/>
    <x v="46"/>
    <x v="2"/>
    <n v="53"/>
    <n v="1369"/>
    <n v="5.8106999999999998"/>
    <x v="2"/>
    <n v="0.85499999999999998"/>
    <n v="3192"/>
    <n v="3.88"/>
  </r>
  <r>
    <s v="Ub8IjCVt2Ss"/>
    <x v="82"/>
    <x v="81"/>
    <x v="2"/>
    <x v="47"/>
    <x v="2"/>
    <n v="299"/>
    <n v="1589"/>
    <n v="50.2806"/>
    <x v="4"/>
    <n v="115.098"/>
    <n v="9715"/>
    <n v="12.44"/>
  </r>
  <r>
    <s v="2wVfrHMGhWM"/>
    <x v="83"/>
    <x v="82"/>
    <x v="2"/>
    <x v="47"/>
    <x v="2"/>
    <n v="43"/>
    <n v="1305"/>
    <n v="6.1063000000000001"/>
    <x v="0"/>
    <n v="0.54300000000000004"/>
    <n v="2288"/>
    <n v="6.12"/>
  </r>
  <r>
    <s v="tq8WdAp5Xq0"/>
    <x v="84"/>
    <x v="83"/>
    <x v="2"/>
    <x v="47"/>
    <x v="2"/>
    <n v="42"/>
    <n v="809"/>
    <n v="2.5467"/>
    <x v="0"/>
    <n v="0.248"/>
    <n v="1845"/>
    <n v="6.94"/>
  </r>
  <r>
    <s v="URC-IzKUvXI"/>
    <x v="85"/>
    <x v="84"/>
    <x v="2"/>
    <x v="48"/>
    <x v="2"/>
    <n v="60"/>
    <n v="907"/>
    <n v="3.8780000000000001"/>
    <x v="0"/>
    <n v="0.44600000000000001"/>
    <n v="2521"/>
    <n v="5.99"/>
  </r>
  <r>
    <s v="FMHX2y5fwL4"/>
    <x v="86"/>
    <x v="85"/>
    <x v="2"/>
    <x v="48"/>
    <x v="2"/>
    <n v="46"/>
    <n v="618"/>
    <n v="1.5771999999999999"/>
    <x v="2"/>
    <n v="0.248"/>
    <n v="2215"/>
    <n v="3.79"/>
  </r>
  <r>
    <s v="v7oiJ0wXR4M"/>
    <x v="87"/>
    <x v="86"/>
    <x v="2"/>
    <x v="49"/>
    <x v="2"/>
    <n v="86"/>
    <n v="1149"/>
    <n v="4.7666000000000004"/>
    <x v="2"/>
    <n v="0.56200000000000006"/>
    <n v="1684"/>
    <n v="5.23"/>
  </r>
  <r>
    <s v="Vn72Bk_mVJw"/>
    <x v="88"/>
    <x v="87"/>
    <x v="2"/>
    <x v="50"/>
    <x v="2"/>
    <n v="74"/>
    <n v="945"/>
    <n v="4.3446999999999996"/>
    <x v="2"/>
    <n v="0.38"/>
    <n v="1553"/>
    <n v="6.7"/>
  </r>
  <r>
    <s v="3_trq3Q2rB0"/>
    <x v="89"/>
    <x v="79"/>
    <x v="2"/>
    <x v="51"/>
    <x v="2"/>
    <n v="47"/>
    <n v="1208"/>
    <n v="2.8744000000000001"/>
    <x v="0"/>
    <n v="0.45700000000000002"/>
    <n v="3008"/>
    <n v="4.3899999999999997"/>
  </r>
  <r>
    <s v="inWubhlxCBY"/>
    <x v="90"/>
    <x v="79"/>
    <x v="2"/>
    <x v="52"/>
    <x v="2"/>
    <n v="110"/>
    <n v="30819"/>
    <n v="27.402000000000001"/>
    <x v="0"/>
    <n v="0.32100000000000001"/>
    <n v="2779"/>
    <n v="4.97"/>
  </r>
  <r>
    <s v="jjh68OnVZbk"/>
    <x v="91"/>
    <x v="88"/>
    <x v="2"/>
    <x v="52"/>
    <x v="2"/>
    <n v="101"/>
    <n v="752"/>
    <n v="4.2683"/>
    <x v="0"/>
    <n v="0.44500000000000001"/>
    <n v="2191"/>
    <n v="4.97"/>
  </r>
  <r>
    <s v="HX_yzgsv98o"/>
    <x v="92"/>
    <x v="14"/>
    <x v="2"/>
    <x v="53"/>
    <x v="2"/>
    <n v="109"/>
    <n v="884"/>
    <n v="12.042299999999999"/>
    <x v="2"/>
    <n v="61.715000000000003"/>
    <n v="10391"/>
    <n v="7.67"/>
  </r>
  <r>
    <s v="aiBMwmfTBtM"/>
    <x v="93"/>
    <x v="89"/>
    <x v="2"/>
    <x v="53"/>
    <x v="2"/>
    <n v="91"/>
    <n v="795"/>
    <n v="4.8067000000000002"/>
    <x v="0"/>
    <n v="0.59299999999999997"/>
    <n v="1928"/>
    <n v="4.51"/>
  </r>
  <r>
    <s v="R809vopMuks"/>
    <x v="94"/>
    <x v="90"/>
    <x v="2"/>
    <x v="54"/>
    <x v="2"/>
    <n v="295"/>
    <n v="6600"/>
    <n v="29.5063"/>
    <x v="6"/>
    <n v="49.604999999999997"/>
    <n v="5368"/>
    <n v="8.4"/>
  </r>
  <r>
    <s v="do4dipp8CZ8"/>
    <x v="95"/>
    <x v="91"/>
    <x v="2"/>
    <x v="54"/>
    <x v="2"/>
    <n v="46"/>
    <n v="832"/>
    <n v="1.7259"/>
    <x v="0"/>
    <n v="0.29899999999999999"/>
    <n v="1790"/>
    <n v="2.91"/>
  </r>
  <r>
    <s v="BCldZC4BB8E"/>
    <x v="96"/>
    <x v="92"/>
    <x v="2"/>
    <x v="54"/>
    <x v="2"/>
    <n v="49"/>
    <n v="780"/>
    <n v="2.9285000000000001"/>
    <x v="1"/>
    <n v="0.35099999999999998"/>
    <n v="2200"/>
    <n v="5.64"/>
  </r>
  <r>
    <s v="7SbMPzHHxqM"/>
    <x v="97"/>
    <x v="93"/>
    <x v="2"/>
    <x v="55"/>
    <x v="2"/>
    <n v="235"/>
    <n v="77801"/>
    <n v="2536.3398000000002"/>
    <x v="3"/>
    <n v="27.881"/>
    <n v="5078"/>
    <n v="7.48"/>
  </r>
  <r>
    <s v="0Q60gOsWK-A"/>
    <x v="98"/>
    <x v="94"/>
    <x v="2"/>
    <x v="55"/>
    <x v="2"/>
    <n v="53"/>
    <n v="774"/>
    <n v="1.8737999999999999"/>
    <x v="0"/>
    <n v="0.29399999999999998"/>
    <n v="2234"/>
    <n v="4.79"/>
  </r>
  <r>
    <s v="5wtYXO1YTow"/>
    <x v="99"/>
    <x v="95"/>
    <x v="2"/>
    <x v="56"/>
    <x v="2"/>
    <n v="45"/>
    <n v="881"/>
    <n v="3.5004"/>
    <x v="2"/>
    <n v="0.40899999999999997"/>
    <n v="2354"/>
    <n v="5.0999999999999996"/>
  </r>
  <r>
    <s v="xxpDxow8Pns"/>
    <x v="100"/>
    <x v="96"/>
    <x v="2"/>
    <x v="56"/>
    <x v="2"/>
    <n v="141"/>
    <n v="844"/>
    <n v="10.4634"/>
    <x v="1"/>
    <n v="16.405999999999999"/>
    <n v="19406"/>
    <n v="3.94"/>
  </r>
  <r>
    <s v="hzGMQtaXT_8"/>
    <x v="101"/>
    <x v="97"/>
    <x v="2"/>
    <x v="56"/>
    <x v="2"/>
    <n v="41"/>
    <n v="814"/>
    <n v="2.1126"/>
    <x v="0"/>
    <n v="0.33600000000000002"/>
    <n v="1450"/>
    <n v="3.86"/>
  </r>
  <r>
    <s v="KBLDZYLCn80"/>
    <x v="102"/>
    <x v="98"/>
    <x v="2"/>
    <x v="57"/>
    <x v="2"/>
    <n v="256"/>
    <n v="1411"/>
    <n v="33.474600000000002"/>
    <x v="7"/>
    <n v="127.56699999999999"/>
    <n v="11773"/>
    <n v="10.26"/>
  </r>
  <r>
    <s v="g0wwoI5A0Zw"/>
    <x v="103"/>
    <x v="99"/>
    <x v="2"/>
    <x v="58"/>
    <x v="2"/>
    <n v="57"/>
    <n v="917"/>
    <n v="2.5754000000000001"/>
    <x v="0"/>
    <n v="0.79400000000000004"/>
    <n v="4178"/>
    <n v="3.93"/>
  </r>
  <r>
    <s v="GptZF0kixqM"/>
    <x v="104"/>
    <x v="100"/>
    <x v="2"/>
    <x v="59"/>
    <x v="3"/>
    <n v="57"/>
    <n v="1332"/>
    <n v="4.3521000000000001"/>
    <x v="0"/>
    <n v="0.60199999999999998"/>
    <n v="3756"/>
    <n v="5.43"/>
  </r>
  <r>
    <s v="HC_VbsfCE-E"/>
    <x v="105"/>
    <x v="101"/>
    <x v="2"/>
    <x v="60"/>
    <x v="3"/>
    <n v="95"/>
    <n v="1648"/>
    <n v="6.4833999999999996"/>
    <x v="1"/>
    <n v="0.98"/>
    <n v="3679"/>
    <n v="5.84"/>
  </r>
  <r>
    <s v="8IO0fUA_QP4"/>
    <x v="106"/>
    <x v="102"/>
    <x v="2"/>
    <x v="60"/>
    <x v="3"/>
    <n v="88"/>
    <n v="1041"/>
    <n v="9.2952999999999992"/>
    <x v="0"/>
    <n v="45.67"/>
    <n v="14016"/>
    <n v="6.39"/>
  </r>
  <r>
    <s v="l60U05RW3Vc"/>
    <x v="107"/>
    <x v="103"/>
    <x v="2"/>
    <x v="61"/>
    <x v="3"/>
    <n v="92"/>
    <n v="1427"/>
    <n v="7.0946999999999996"/>
    <x v="2"/>
    <n v="0.59699999999999998"/>
    <n v="4454"/>
    <n v="4.96"/>
  </r>
  <r>
    <s v="BJfBT3AWB74"/>
    <x v="108"/>
    <x v="104"/>
    <x v="2"/>
    <x v="61"/>
    <x v="3"/>
    <n v="65"/>
    <n v="1264"/>
    <n v="6.4273999999999996"/>
    <x v="0"/>
    <n v="0.48899999999999999"/>
    <n v="5216"/>
    <n v="4.95"/>
  </r>
  <r>
    <s v="0P7o6SLSAt4"/>
    <x v="109"/>
    <x v="105"/>
    <x v="2"/>
    <x v="61"/>
    <x v="3"/>
    <n v="891"/>
    <n v="750"/>
    <n v="35.196800000000003"/>
    <x v="2"/>
    <n v="62.954000000000001"/>
    <n v="7514"/>
    <n v="7.57"/>
  </r>
  <r>
    <s v="nqN9YrXq830"/>
    <x v="110"/>
    <x v="106"/>
    <x v="2"/>
    <x v="62"/>
    <x v="3"/>
    <n v="53"/>
    <n v="1756"/>
    <n v="8.4658999999999995"/>
    <x v="2"/>
    <n v="0.79500000000000004"/>
    <n v="7508"/>
    <n v="6.29"/>
  </r>
  <r>
    <s v="piN5QUCVvZk"/>
    <x v="111"/>
    <x v="107"/>
    <x v="2"/>
    <x v="62"/>
    <x v="3"/>
    <n v="250"/>
    <n v="1273"/>
    <n v="16.2927"/>
    <x v="1"/>
    <n v="17.21"/>
    <n v="40219"/>
    <n v="2.98"/>
  </r>
  <r>
    <s v="7kB_mmE0DfQ"/>
    <x v="112"/>
    <x v="108"/>
    <x v="2"/>
    <x v="62"/>
    <x v="3"/>
    <n v="70"/>
    <n v="798"/>
    <n v="2.9243999999999999"/>
    <x v="0"/>
    <n v="0.33"/>
    <n v="1823"/>
    <n v="5.05"/>
  </r>
  <r>
    <s v="U3YQthZB3HU"/>
    <x v="113"/>
    <x v="109"/>
    <x v="2"/>
    <x v="63"/>
    <x v="3"/>
    <n v="42"/>
    <n v="1573"/>
    <n v="5.5179999999999998"/>
    <x v="1"/>
    <n v="0.84499999999999997"/>
    <n v="4526"/>
    <n v="6.36"/>
  </r>
  <r>
    <s v="kYkrBtmVh0w"/>
    <x v="114"/>
    <x v="110"/>
    <x v="2"/>
    <x v="64"/>
    <x v="3"/>
    <n v="47"/>
    <n v="720"/>
    <n v="2.2391999999999999"/>
    <x v="0"/>
    <n v="0.38300000000000001"/>
    <n v="4356"/>
    <n v="3.93"/>
  </r>
  <r>
    <s v="1K0he4ufqsY"/>
    <x v="115"/>
    <x v="111"/>
    <x v="2"/>
    <x v="65"/>
    <x v="3"/>
    <n v="64"/>
    <n v="974"/>
    <n v="3.4279000000000002"/>
    <x v="2"/>
    <n v="0.59499999999999997"/>
    <n v="1844"/>
    <n v="4.66"/>
  </r>
  <r>
    <s v="pbEpt-yYudY"/>
    <x v="116"/>
    <x v="112"/>
    <x v="2"/>
    <x v="65"/>
    <x v="3"/>
    <n v="56"/>
    <n v="791"/>
    <n v="3.0487000000000002"/>
    <x v="2"/>
    <n v="0.32"/>
    <n v="4640"/>
    <n v="2.95"/>
  </r>
  <r>
    <s v="_XUPjYV_GGc"/>
    <x v="117"/>
    <x v="113"/>
    <x v="2"/>
    <x v="66"/>
    <x v="3"/>
    <n v="49"/>
    <n v="927"/>
    <n v="2.4174000000000002"/>
    <x v="0"/>
    <n v="0.34899999999999998"/>
    <n v="3015"/>
    <n v="4.54"/>
  </r>
  <r>
    <s v="2ylV97lUYGM"/>
    <x v="118"/>
    <x v="114"/>
    <x v="2"/>
    <x v="66"/>
    <x v="3"/>
    <n v="158"/>
    <n v="743"/>
    <n v="13.361800000000001"/>
    <x v="2"/>
    <n v="27.890999999999998"/>
    <n v="8628"/>
    <n v="6.93"/>
  </r>
  <r>
    <s v="klHQCNVm63U"/>
    <x v="119"/>
    <x v="115"/>
    <x v="2"/>
    <x v="67"/>
    <x v="3"/>
    <n v="51"/>
    <n v="1535"/>
    <n v="4.0035999999999996"/>
    <x v="2"/>
    <n v="0.57399999999999995"/>
    <n v="3386"/>
    <n v="6.56"/>
  </r>
  <r>
    <s v="wr3ul3-ZZ6Y"/>
    <x v="120"/>
    <x v="116"/>
    <x v="2"/>
    <x v="67"/>
    <x v="3"/>
    <n v="39"/>
    <n v="1110"/>
    <n v="3.2336"/>
    <x v="0"/>
    <n v="0.5"/>
    <n v="2786"/>
    <n v="4.74"/>
  </r>
  <r>
    <s v="ix4U88ZU6b0"/>
    <x v="121"/>
    <x v="117"/>
    <x v="2"/>
    <x v="68"/>
    <x v="3"/>
    <n v="50"/>
    <n v="1473"/>
    <n v="4.6656000000000004"/>
    <x v="1"/>
    <n v="0.51300000000000001"/>
    <n v="5900"/>
    <n v="3.47"/>
  </r>
  <r>
    <s v="9Zfgm6LFdRU"/>
    <x v="122"/>
    <x v="118"/>
    <x v="2"/>
    <x v="68"/>
    <x v="3"/>
    <n v="83"/>
    <n v="986"/>
    <n v="4.117"/>
    <x v="0"/>
    <n v="0.60599999999999998"/>
    <n v="3477"/>
    <n v="5.72"/>
  </r>
  <r>
    <s v="n1Do3zXMNic"/>
    <x v="123"/>
    <x v="119"/>
    <x v="2"/>
    <x v="69"/>
    <x v="3"/>
    <n v="64"/>
    <n v="1189"/>
    <n v="5.1441999999999997"/>
    <x v="0"/>
    <n v="0.45100000000000001"/>
    <n v="3887"/>
    <n v="5.92"/>
  </r>
  <r>
    <s v="I-v1BITUNio"/>
    <x v="124"/>
    <x v="120"/>
    <x v="2"/>
    <x v="70"/>
    <x v="3"/>
    <n v="33"/>
    <n v="994"/>
    <n v="3.4224000000000001"/>
    <x v="0"/>
    <n v="0.51600000000000001"/>
    <n v="2971"/>
    <n v="6.29"/>
  </r>
  <r>
    <s v="lHjZB1DM7_k"/>
    <x v="125"/>
    <x v="121"/>
    <x v="2"/>
    <x v="71"/>
    <x v="3"/>
    <n v="51"/>
    <n v="921"/>
    <n v="2.5739999999999998"/>
    <x v="0"/>
    <n v="0.44800000000000001"/>
    <n v="2655"/>
    <n v="4.29"/>
  </r>
  <r>
    <s v="GvvJkMa23ZQ"/>
    <x v="126"/>
    <x v="122"/>
    <x v="2"/>
    <x v="72"/>
    <x v="3"/>
    <n v="32"/>
    <n v="949"/>
    <n v="1.5092000000000001"/>
    <x v="0"/>
    <n v="0.28000000000000003"/>
    <n v="2124"/>
    <n v="4.0999999999999996"/>
  </r>
  <r>
    <s v="ChR9rm5IQyM"/>
    <x v="127"/>
    <x v="123"/>
    <x v="2"/>
    <x v="73"/>
    <x v="3"/>
    <n v="35"/>
    <n v="1457"/>
    <n v="5.1840999999999999"/>
    <x v="2"/>
    <n v="0.80600000000000005"/>
    <n v="6936"/>
    <n v="5.0999999999999996"/>
  </r>
  <r>
    <s v=" -SFM4USdmN0"/>
    <x v="128"/>
    <x v="124"/>
    <x v="2"/>
    <x v="73"/>
    <x v="3"/>
    <n v="52"/>
    <n v="1074"/>
    <n v="2.778"/>
    <x v="2"/>
    <n v="0.44"/>
    <n v="3980"/>
    <n v="4.17"/>
  </r>
  <r>
    <s v=" -y0a5yBZRIA"/>
    <x v="129"/>
    <x v="71"/>
    <x v="2"/>
    <x v="74"/>
    <x v="3"/>
    <n v="95"/>
    <n v="1423"/>
    <n v="8.1928000000000001"/>
    <x v="1"/>
    <n v="0.80100000000000005"/>
    <n v="6203"/>
    <n v="6.17"/>
  </r>
  <r>
    <s v="B3T48CRQwUY"/>
    <x v="130"/>
    <x v="125"/>
    <x v="2"/>
    <x v="74"/>
    <x v="3"/>
    <n v="142"/>
    <n v="1147"/>
    <n v="24.3127"/>
    <x v="1"/>
    <n v="100.468"/>
    <n v="7116"/>
    <n v="11.09"/>
  </r>
  <r>
    <s v="TlWt0AVrQnU"/>
    <x v="131"/>
    <x v="126"/>
    <x v="2"/>
    <x v="74"/>
    <x v="3"/>
    <n v="66"/>
    <n v="1100"/>
    <n v="5.8479999999999999"/>
    <x v="2"/>
    <n v="0.51"/>
    <n v="2908"/>
    <n v="7.74"/>
  </r>
  <r>
    <s v="4Funh5JbNDI"/>
    <x v="132"/>
    <x v="127"/>
    <x v="2"/>
    <x v="75"/>
    <x v="3"/>
    <n v="178"/>
    <n v="1345"/>
    <n v="30.309899999999999"/>
    <x v="2"/>
    <n v="123.309"/>
    <n v="6718"/>
    <n v="16.88"/>
  </r>
  <r>
    <s v="aLKvP5Hst2k"/>
    <x v="133"/>
    <x v="128"/>
    <x v="2"/>
    <x v="75"/>
    <x v="3"/>
    <n v="239"/>
    <n v="1343"/>
    <n v="27.755500000000001"/>
    <x v="3"/>
    <n v="40.606000000000002"/>
    <n v="7201"/>
    <n v="9.48"/>
  </r>
  <r>
    <s v="yNdKb0oVU3k"/>
    <x v="134"/>
    <x v="129"/>
    <x v="2"/>
    <x v="75"/>
    <x v="3"/>
    <n v="36"/>
    <n v="985"/>
    <n v="3.6459000000000001"/>
    <x v="2"/>
    <n v="0.51900000000000002"/>
    <n v="3982"/>
    <n v="5.17"/>
  </r>
  <r>
    <s v="4phivj_XxwY"/>
    <x v="135"/>
    <x v="130"/>
    <x v="2"/>
    <x v="76"/>
    <x v="3"/>
    <n v="31"/>
    <n v="1379"/>
    <n v="4.3737000000000004"/>
    <x v="0"/>
    <n v="0.78700000000000003"/>
    <n v="5065"/>
    <n v="8.98"/>
  </r>
  <r>
    <s v="tfE_z8yOThw"/>
    <x v="136"/>
    <x v="131"/>
    <x v="2"/>
    <x v="77"/>
    <x v="3"/>
    <n v="44"/>
    <n v="624"/>
    <n v="1.9607000000000001"/>
    <x v="0"/>
    <n v="0.313"/>
    <n v="3810"/>
    <n v="4.2300000000000004"/>
  </r>
  <r>
    <s v="Yqwuw4kIlQI"/>
    <x v="137"/>
    <x v="132"/>
    <x v="2"/>
    <x v="78"/>
    <x v="3"/>
    <n v="39"/>
    <n v="792"/>
    <n v="2.4432999999999998"/>
    <x v="0"/>
    <n v="0.37"/>
    <n v="1914"/>
    <n v="4.96"/>
  </r>
  <r>
    <s v="5-YYt8IhUhE"/>
    <x v="138"/>
    <x v="133"/>
    <x v="2"/>
    <x v="79"/>
    <x v="4"/>
    <n v="69"/>
    <n v="1213"/>
    <n v="4.9264000000000001"/>
    <x v="2"/>
    <n v="0.72099999999999997"/>
    <n v="1779"/>
    <n v="5.34"/>
  </r>
  <r>
    <s v="9F39J6pOf8E"/>
    <x v="139"/>
    <x v="134"/>
    <x v="2"/>
    <x v="80"/>
    <x v="4"/>
    <n v="53"/>
    <n v="895"/>
    <n v="4.4069000000000003"/>
    <x v="0"/>
    <n v="0.46200000000000002"/>
    <n v="2975"/>
    <n v="5.24"/>
  </r>
  <r>
    <s v="vRtHNio8-qE"/>
    <x v="140"/>
    <x v="135"/>
    <x v="2"/>
    <x v="81"/>
    <x v="4"/>
    <n v="50"/>
    <n v="1231"/>
    <n v="4.2355999999999998"/>
    <x v="1"/>
    <n v="0.54800000000000004"/>
    <n v="3021"/>
    <n v="5.69"/>
  </r>
  <r>
    <s v="rwK-r9yaHv4"/>
    <x v="141"/>
    <x v="136"/>
    <x v="2"/>
    <x v="82"/>
    <x v="4"/>
    <n v="49"/>
    <n v="1291"/>
    <n v="6.6322999999999999"/>
    <x v="1"/>
    <n v="0.70399999999999996"/>
    <n v="5708"/>
    <n v="5.78"/>
  </r>
  <r>
    <s v="UfBY0BhdyWY"/>
    <x v="142"/>
    <x v="137"/>
    <x v="2"/>
    <x v="82"/>
    <x v="4"/>
    <n v="69"/>
    <n v="1165"/>
    <n v="5.9737"/>
    <x v="2"/>
    <n v="0.52300000000000002"/>
    <n v="3320"/>
    <n v="6.63"/>
  </r>
  <r>
    <s v="jGFKCfhO9bA"/>
    <x v="143"/>
    <x v="138"/>
    <x v="2"/>
    <x v="83"/>
    <x v="4"/>
    <n v="50"/>
    <n v="924"/>
    <n v="2.7764000000000002"/>
    <x v="0"/>
    <n v="0.38"/>
    <n v="3447"/>
    <n v="4.3499999999999996"/>
  </r>
  <r>
    <s v="qyfwxUI3jKc"/>
    <x v="144"/>
    <x v="139"/>
    <x v="2"/>
    <x v="83"/>
    <x v="4"/>
    <n v="84"/>
    <n v="644"/>
    <n v="3.6044"/>
    <x v="2"/>
    <n v="0.29499999999999998"/>
    <n v="2806"/>
    <n v="5.2"/>
  </r>
  <r>
    <s v="KIbZSZVQnlM"/>
    <x v="145"/>
    <x v="140"/>
    <x v="2"/>
    <x v="84"/>
    <x v="4"/>
    <n v="53"/>
    <n v="855"/>
    <n v="2.7088000000000001"/>
    <x v="0"/>
    <n v="0.40300000000000002"/>
    <n v="2608"/>
    <n v="3.34"/>
  </r>
  <r>
    <s v="9Out36sp6TE"/>
    <x v="146"/>
    <x v="141"/>
    <x v="2"/>
    <x v="85"/>
    <x v="4"/>
    <n v="53"/>
    <n v="972"/>
    <n v="3.2681"/>
    <x v="0"/>
    <n v="0.44700000000000001"/>
    <n v="2497"/>
    <n v="3.64"/>
  </r>
  <r>
    <s v="g1l4Nr1aVos"/>
    <x v="147"/>
    <x v="142"/>
    <x v="2"/>
    <x v="86"/>
    <x v="4"/>
    <n v="46"/>
    <n v="845"/>
    <n v="1.8593999999999999"/>
    <x v="2"/>
    <n v="0.3"/>
    <n v="2205"/>
    <n v="4.3099999999999996"/>
  </r>
  <r>
    <s v="SlGzaK9vJoo"/>
    <x v="148"/>
    <x v="143"/>
    <x v="2"/>
    <x v="86"/>
    <x v="4"/>
    <n v="135"/>
    <n v="693"/>
    <n v="14.0512"/>
    <x v="3"/>
    <n v="54.192999999999998"/>
    <n v="4688"/>
    <n v="12.24"/>
  </r>
  <r>
    <s v="3eBe3ifEwE0"/>
    <x v="149"/>
    <x v="144"/>
    <x v="2"/>
    <x v="87"/>
    <x v="4"/>
    <n v="99"/>
    <n v="1310"/>
    <n v="8.1487999999999996"/>
    <x v="1"/>
    <n v="0.60899999999999999"/>
    <n v="3652"/>
    <n v="3.81"/>
  </r>
  <r>
    <s v="OrhKodJUn6Q"/>
    <x v="150"/>
    <x v="145"/>
    <x v="2"/>
    <x v="87"/>
    <x v="4"/>
    <n v="182"/>
    <n v="964"/>
    <n v="21.482500000000002"/>
    <x v="2"/>
    <n v="55.98"/>
    <n v="6983"/>
    <n v="10.47"/>
  </r>
  <r>
    <s v="Fc6WNemSBWM"/>
    <x v="151"/>
    <x v="146"/>
    <x v="2"/>
    <x v="88"/>
    <x v="4"/>
    <n v="35"/>
    <n v="2610"/>
    <n v="8.5457999999999998"/>
    <x v="1"/>
    <n v="1.206"/>
    <n v="13357"/>
    <n v="3.89"/>
  </r>
  <r>
    <s v="Uy8UpgLqYjo"/>
    <x v="152"/>
    <x v="147"/>
    <x v="2"/>
    <x v="88"/>
    <x v="4"/>
    <n v="242"/>
    <n v="734"/>
    <n v="18.848500000000001"/>
    <x v="0"/>
    <n v="49.808"/>
    <n v="5469"/>
    <n v="8.41"/>
  </r>
  <r>
    <s v="dYmxlUD4bgs"/>
    <x v="153"/>
    <x v="148"/>
    <x v="2"/>
    <x v="89"/>
    <x v="4"/>
    <n v="53"/>
    <n v="727"/>
    <n v="2.5468999999999999"/>
    <x v="2"/>
    <n v="0.34200000000000003"/>
    <n v="3108"/>
    <n v="3.73"/>
  </r>
  <r>
    <s v="UfFqI9gZVDM"/>
    <x v="154"/>
    <x v="149"/>
    <x v="2"/>
    <x v="89"/>
    <x v="4"/>
    <n v="104"/>
    <n v="634"/>
    <n v="4.5865999999999998"/>
    <x v="0"/>
    <n v="0.34100000000000003"/>
    <n v="2997"/>
    <n v="5.34"/>
  </r>
  <r>
    <s v="POKdmxbhZKs"/>
    <x v="155"/>
    <x v="150"/>
    <x v="2"/>
    <x v="90"/>
    <x v="4"/>
    <n v="88"/>
    <n v="1586"/>
    <n v="7.0911999999999997"/>
    <x v="2"/>
    <n v="1.2669999999999999"/>
    <n v="2887"/>
    <n v="3.6"/>
  </r>
  <r>
    <s v="NeHH95oMvR8"/>
    <x v="156"/>
    <x v="151"/>
    <x v="2"/>
    <x v="91"/>
    <x v="4"/>
    <n v="37"/>
    <n v="1086"/>
    <n v="3.5308999999999999"/>
    <x v="1"/>
    <n v="0.48299999999999998"/>
    <n v="3477"/>
    <n v="5.61"/>
  </r>
  <r>
    <s v="Q91MuEvpDxs"/>
    <x v="157"/>
    <x v="152"/>
    <x v="2"/>
    <x v="91"/>
    <x v="4"/>
    <n v="285"/>
    <n v="607"/>
    <n v="13.0312"/>
    <x v="2"/>
    <n v="69.149000000000001"/>
    <n v="6358"/>
    <n v="7.86"/>
  </r>
  <r>
    <s v="KcM1Drrf5I8"/>
    <x v="158"/>
    <x v="153"/>
    <x v="2"/>
    <x v="92"/>
    <x v="4"/>
    <n v="86"/>
    <n v="605"/>
    <n v="2.6086"/>
    <x v="2"/>
    <n v="0.34"/>
    <n v="2147"/>
    <n v="3.21"/>
  </r>
  <r>
    <s v="2JZh7hp_ggQ"/>
    <x v="159"/>
    <x v="154"/>
    <x v="2"/>
    <x v="93"/>
    <x v="4"/>
    <n v="278"/>
    <n v="1216"/>
    <n v="36.6404"/>
    <x v="1"/>
    <n v="38.494"/>
    <n v="3283"/>
    <n v="8.32"/>
  </r>
  <r>
    <s v="tnbottIdyHI"/>
    <x v="160"/>
    <x v="155"/>
    <x v="2"/>
    <x v="94"/>
    <x v="5"/>
    <n v="32"/>
    <n v="1277"/>
    <n v="2.1819000000000002"/>
    <x v="0"/>
    <n v="0.64900000000000002"/>
    <n v="2003"/>
    <n v="3.94"/>
  </r>
  <r>
    <s v="qpfjUl4722s"/>
    <x v="161"/>
    <x v="156"/>
    <x v="2"/>
    <x v="95"/>
    <x v="5"/>
    <n v="80"/>
    <n v="1063"/>
    <n v="3.7683"/>
    <x v="2"/>
    <n v="0.53100000000000003"/>
    <n v="2035"/>
    <n v="3.73"/>
  </r>
  <r>
    <s v="BkyLue0OyKo"/>
    <x v="162"/>
    <x v="157"/>
    <x v="2"/>
    <x v="95"/>
    <x v="5"/>
    <n v="69"/>
    <n v="933"/>
    <n v="3.8839999999999999"/>
    <x v="2"/>
    <n v="0.38200000000000001"/>
    <n v="2043"/>
    <n v="6.31"/>
  </r>
  <r>
    <s v="zZ2d2mEJKF8"/>
    <x v="163"/>
    <x v="158"/>
    <x v="2"/>
    <x v="96"/>
    <x v="5"/>
    <n v="42"/>
    <n v="990"/>
    <n v="1.9196"/>
    <x v="2"/>
    <n v="0.33800000000000002"/>
    <n v="1743"/>
    <n v="2.52"/>
  </r>
  <r>
    <s v="nx3g-io9ZJk"/>
    <x v="164"/>
    <x v="159"/>
    <x v="2"/>
    <x v="97"/>
    <x v="5"/>
    <n v="89"/>
    <n v="1008"/>
    <n v="5.0225"/>
    <x v="2"/>
    <n v="0.47599999999999998"/>
    <n v="2879"/>
    <n v="4.62"/>
  </r>
  <r>
    <s v="jxVAY6SAtVA"/>
    <x v="165"/>
    <x v="160"/>
    <x v="2"/>
    <x v="98"/>
    <x v="5"/>
    <n v="276"/>
    <n v="8568"/>
    <n v="223.1961"/>
    <x v="3"/>
    <n v="26.606999999999999"/>
    <n v="4446"/>
    <n v="6.05"/>
  </r>
  <r>
    <s v="exuzJyrmyAE"/>
    <x v="166"/>
    <x v="161"/>
    <x v="2"/>
    <x v="98"/>
    <x v="5"/>
    <n v="39"/>
    <n v="1172"/>
    <n v="2.0003000000000002"/>
    <x v="0"/>
    <n v="0.378"/>
    <n v="1727"/>
    <n v="3.76"/>
  </r>
  <r>
    <s v="fSkGQxQIScc"/>
    <x v="167"/>
    <x v="162"/>
    <x v="2"/>
    <x v="99"/>
    <x v="5"/>
    <n v="73"/>
    <n v="1316"/>
    <n v="6.9802999999999997"/>
    <x v="0"/>
    <n v="0.68899999999999995"/>
    <n v="5386"/>
    <n v="5.4"/>
  </r>
  <r>
    <s v="7IM-B_RRLFI"/>
    <x v="168"/>
    <x v="163"/>
    <x v="2"/>
    <x v="100"/>
    <x v="5"/>
    <n v="44"/>
    <n v="896"/>
    <n v="2.6031"/>
    <x v="1"/>
    <n v="0.49"/>
    <n v="2661"/>
    <n v="3.19"/>
  </r>
  <r>
    <s v="rfkGwlKoLaE"/>
    <x v="169"/>
    <x v="164"/>
    <x v="2"/>
    <x v="100"/>
    <x v="5"/>
    <n v="30"/>
    <n v="615"/>
    <n v="0.96689999999999998"/>
    <x v="0"/>
    <n v="0.188"/>
    <n v="1894"/>
    <n v="4.01"/>
  </r>
  <r>
    <s v="Y7WbXMCS8YY"/>
    <x v="170"/>
    <x v="165"/>
    <x v="2"/>
    <x v="101"/>
    <x v="5"/>
    <n v="64"/>
    <n v="751"/>
    <n v="2.004"/>
    <x v="2"/>
    <n v="0.24099999999999999"/>
    <n v="2290"/>
    <n v="4.63"/>
  </r>
  <r>
    <s v="_IcUUz2ZlmM"/>
    <x v="171"/>
    <x v="166"/>
    <x v="2"/>
    <x v="102"/>
    <x v="5"/>
    <n v="88"/>
    <n v="664"/>
    <n v="3.2441"/>
    <x v="2"/>
    <n v="0.47099999999999997"/>
    <n v="3158"/>
    <n v="3.36"/>
  </r>
  <r>
    <s v="GQNcjS0JxpQ"/>
    <x v="172"/>
    <x v="167"/>
    <x v="2"/>
    <x v="103"/>
    <x v="5"/>
    <n v="51"/>
    <n v="827"/>
    <n v="2.1623999999999999"/>
    <x v="0"/>
    <n v="0.34399999999999997"/>
    <n v="2179"/>
    <n v="4.2699999999999996"/>
  </r>
  <r>
    <s v="ZIhTDUwYn9s"/>
    <x v="173"/>
    <x v="168"/>
    <x v="2"/>
    <x v="103"/>
    <x v="5"/>
    <n v="32"/>
    <n v="827"/>
    <n v="1.8442000000000001"/>
    <x v="0"/>
    <n v="0.32600000000000001"/>
    <n v="2084"/>
    <n v="4.75"/>
  </r>
  <r>
    <s v="GVgs50vIW7s"/>
    <x v="174"/>
    <x v="169"/>
    <x v="2"/>
    <x v="103"/>
    <x v="5"/>
    <n v="207"/>
    <n v="654"/>
    <n v="18.326499999999999"/>
    <x v="0"/>
    <n v="39.591999999999999"/>
    <n v="4775"/>
    <n v="8.82"/>
  </r>
  <r>
    <s v="3GMoe47Qf5I"/>
    <x v="175"/>
    <x v="170"/>
    <x v="2"/>
    <x v="104"/>
    <x v="5"/>
    <n v="42"/>
    <n v="1166"/>
    <n v="4.3514999999999997"/>
    <x v="2"/>
    <n v="0.59299999999999997"/>
    <n v="3153"/>
    <n v="4.54"/>
  </r>
  <r>
    <s v="JW-gGQqNO5k"/>
    <x v="176"/>
    <x v="171"/>
    <x v="2"/>
    <x v="105"/>
    <x v="5"/>
    <n v="58"/>
    <n v="744"/>
    <n v="2.6692999999999998"/>
    <x v="2"/>
    <n v="0.309"/>
    <n v="2961"/>
    <n v="3.61"/>
  </r>
  <r>
    <s v="VEugGrp_03M"/>
    <x v="177"/>
    <x v="172"/>
    <x v="2"/>
    <x v="106"/>
    <x v="5"/>
    <n v="54"/>
    <n v="798"/>
    <n v="2.7622"/>
    <x v="0"/>
    <n v="0.39400000000000002"/>
    <n v="2897"/>
    <n v="4.38"/>
  </r>
  <r>
    <s v="3T_MWFSutsg"/>
    <x v="178"/>
    <x v="173"/>
    <x v="2"/>
    <x v="107"/>
    <x v="5"/>
    <n v="34"/>
    <n v="1208"/>
    <n v="3.9756"/>
    <x v="0"/>
    <n v="0.53500000000000003"/>
    <n v="3443"/>
    <n v="7.17"/>
  </r>
  <r>
    <s v="6HMSugu7dCY"/>
    <x v="179"/>
    <x v="174"/>
    <x v="2"/>
    <x v="108"/>
    <x v="5"/>
    <n v="49"/>
    <n v="768"/>
    <n v="2.3111999999999999"/>
    <x v="0"/>
    <n v="0.25600000000000001"/>
    <n v="2130"/>
    <n v="5.16"/>
  </r>
  <r>
    <s v="4dWq8hsx3zM"/>
    <x v="180"/>
    <x v="175"/>
    <x v="2"/>
    <x v="109"/>
    <x v="5"/>
    <n v="52"/>
    <n v="1937"/>
    <n v="6.4625000000000004"/>
    <x v="3"/>
    <n v="0.88100000000000001"/>
    <n v="4225"/>
    <n v="8.2799999999999994"/>
  </r>
  <r>
    <s v="X2cW9b4FG_Q"/>
    <x v="177"/>
    <x v="172"/>
    <x v="2"/>
    <x v="109"/>
    <x v="5"/>
    <n v="54"/>
    <n v="1146"/>
    <n v="3.3597999999999999"/>
    <x v="0"/>
    <n v="0.48199999999999998"/>
    <n v="4054"/>
    <n v="3.53"/>
  </r>
  <r>
    <s v="TrsKjXSPAOM"/>
    <x v="181"/>
    <x v="176"/>
    <x v="2"/>
    <x v="110"/>
    <x v="5"/>
    <n v="49"/>
    <n v="712"/>
    <n v="1.3833"/>
    <x v="0"/>
    <n v="0.26100000000000001"/>
    <n v="1602"/>
    <n v="3.93"/>
  </r>
  <r>
    <s v="yfvI1kVvrYM"/>
    <x v="182"/>
    <x v="177"/>
    <x v="2"/>
    <x v="111"/>
    <x v="5"/>
    <n v="61"/>
    <n v="1040"/>
    <n v="4.7895000000000003"/>
    <x v="2"/>
    <n v="0.61899999999999999"/>
    <n v="1270"/>
    <n v="3.23"/>
  </r>
  <r>
    <s v="Dh3xkFOQ5qQ"/>
    <x v="183"/>
    <x v="178"/>
    <x v="2"/>
    <x v="112"/>
    <x v="5"/>
    <n v="32"/>
    <n v="747"/>
    <n v="1.6669"/>
    <x v="0"/>
    <n v="0.23100000000000001"/>
    <n v="2920"/>
    <n v="3.22"/>
  </r>
  <r>
    <s v="wyD_79l5XGs"/>
    <x v="184"/>
    <x v="179"/>
    <x v="2"/>
    <x v="112"/>
    <x v="5"/>
    <n v="181"/>
    <n v="618"/>
    <n v="11.7858"/>
    <x v="8"/>
    <n v="39.287999999999997"/>
    <n v="6415"/>
    <n v="3.65"/>
  </r>
  <r>
    <s v="ESWsQMDt4oA"/>
    <x v="185"/>
    <x v="180"/>
    <x v="2"/>
    <x v="113"/>
    <x v="5"/>
    <n v="57"/>
    <n v="773"/>
    <n v="1.9931000000000001"/>
    <x v="0"/>
    <n v="0.28799999999999998"/>
    <n v="2435"/>
    <n v="4.2699999999999996"/>
  </r>
  <r>
    <s v="uIUovcOioTQ"/>
    <x v="186"/>
    <x v="181"/>
    <x v="2"/>
    <x v="114"/>
    <x v="5"/>
    <n v="39"/>
    <n v="633"/>
    <n v="1.2304999999999999"/>
    <x v="0"/>
    <n v="0.20200000000000001"/>
    <n v="2191"/>
    <n v="3.29"/>
  </r>
  <r>
    <s v="9c1fAik5ZMU"/>
    <x v="187"/>
    <x v="182"/>
    <x v="2"/>
    <x v="115"/>
    <x v="5"/>
    <n v="56"/>
    <n v="1454"/>
    <n v="6.0876999999999999"/>
    <x v="1"/>
    <n v="0.7"/>
    <n v="4559"/>
    <n v="4.87"/>
  </r>
  <r>
    <s v="Xy8rctyywK8"/>
    <x v="188"/>
    <x v="183"/>
    <x v="2"/>
    <x v="116"/>
    <x v="6"/>
    <n v="51"/>
    <n v="966"/>
    <n v="2.3351000000000002"/>
    <x v="6"/>
    <n v="0.22600000000000001"/>
    <n v="1871"/>
    <n v="3.37"/>
  </r>
  <r>
    <s v="t_gcvHxffK4"/>
    <x v="189"/>
    <x v="184"/>
    <x v="2"/>
    <x v="117"/>
    <x v="6"/>
    <n v="71"/>
    <n v="1099"/>
    <n v="4.6513999999999998"/>
    <x v="1"/>
    <n v="0.3"/>
    <n v="2731"/>
    <n v="3.37"/>
  </r>
  <r>
    <s v="u3N0Fn0TGy0"/>
    <x v="190"/>
    <x v="185"/>
    <x v="2"/>
    <x v="117"/>
    <x v="6"/>
    <n v="33"/>
    <n v="743"/>
    <n v="1.4046000000000001"/>
    <x v="9"/>
    <n v="0.28399999999999997"/>
    <n v="2206"/>
    <n v="2.86"/>
  </r>
  <r>
    <s v="iE_HRVrUVf0"/>
    <x v="191"/>
    <x v="186"/>
    <x v="2"/>
    <x v="118"/>
    <x v="6"/>
    <n v="35"/>
    <n v="2255"/>
    <n v="7.9134000000000002"/>
    <x v="3"/>
    <n v="0.66400000000000003"/>
    <n v="6890"/>
    <n v="7.4"/>
  </r>
  <r>
    <s v="4VAdd4iHt1k"/>
    <x v="192"/>
    <x v="187"/>
    <x v="2"/>
    <x v="118"/>
    <x v="6"/>
    <n v="41"/>
    <n v="829"/>
    <n v="2.6520999999999999"/>
    <x v="2"/>
    <n v="7.1999999999999995E-2"/>
    <n v="2658"/>
    <n v="3.54"/>
  </r>
  <r>
    <s v="b_P870pmjNo"/>
    <x v="193"/>
    <x v="155"/>
    <x v="2"/>
    <x v="119"/>
    <x v="6"/>
    <n v="32"/>
    <n v="1441"/>
    <n v="3.5345"/>
    <x v="9"/>
    <n v="0.153"/>
    <n v="3989"/>
    <n v="5.57"/>
  </r>
  <r>
    <s v="uPBu33_R-4Y"/>
    <x v="194"/>
    <x v="188"/>
    <x v="2"/>
    <x v="119"/>
    <x v="6"/>
    <n v="45"/>
    <n v="1281"/>
    <n v="4.6539000000000001"/>
    <x v="4"/>
    <n v="0.27800000000000002"/>
    <n v="5821"/>
    <n v="6.53"/>
  </r>
  <r>
    <s v="smF7ZtWVNPU"/>
    <x v="195"/>
    <x v="189"/>
    <x v="2"/>
    <x v="120"/>
    <x v="6"/>
    <n v="39"/>
    <n v="753"/>
    <n v="1.9431"/>
    <x v="6"/>
    <n v="9.1999999999999998E-2"/>
    <n v="3064"/>
    <n v="5.09"/>
  </r>
  <r>
    <s v="NcxttRtNIg8"/>
    <x v="196"/>
    <x v="190"/>
    <x v="2"/>
    <x v="120"/>
    <x v="6"/>
    <n v="32"/>
    <n v="736"/>
    <n v="1.7889999999999999"/>
    <x v="3"/>
    <n v="0.112"/>
    <n v="2680"/>
    <n v="4.8899999999999997"/>
  </r>
  <r>
    <s v="McuUnO4Tz7k"/>
    <x v="197"/>
    <x v="191"/>
    <x v="2"/>
    <x v="121"/>
    <x v="6"/>
    <n v="62"/>
    <n v="2189"/>
    <n v="8.3957999999999995"/>
    <x v="2"/>
    <n v="0.20599999999999999"/>
    <n v="4031"/>
    <n v="4.59"/>
  </r>
  <r>
    <s v="WbTYkgN-gLQ"/>
    <x v="198"/>
    <x v="192"/>
    <x v="2"/>
    <x v="121"/>
    <x v="6"/>
    <n v="62"/>
    <n v="927"/>
    <n v="5.5304000000000002"/>
    <x v="4"/>
    <n v="0.35099999999999998"/>
    <n v="6084"/>
    <n v="6.67"/>
  </r>
  <r>
    <s v="8VcY0oCS-iY"/>
    <x v="199"/>
    <x v="193"/>
    <x v="2"/>
    <x v="122"/>
    <x v="6"/>
    <n v="41"/>
    <n v="1185"/>
    <n v="2.5451000000000001"/>
    <x v="1"/>
    <n v="0.108"/>
    <n v="2842"/>
    <n v="5.24"/>
  </r>
  <r>
    <s v="hZOrOJelvZU"/>
    <x v="197"/>
    <x v="191"/>
    <x v="2"/>
    <x v="122"/>
    <x v="6"/>
    <n v="62"/>
    <n v="818"/>
    <n v="3.7905000000000002"/>
    <x v="0"/>
    <m/>
    <n v="583"/>
    <n v="7.03"/>
  </r>
  <r>
    <s v="pTwtA4yvoRA"/>
    <x v="200"/>
    <x v="194"/>
    <x v="2"/>
    <x v="123"/>
    <x v="6"/>
    <n v="205"/>
    <n v="4596"/>
    <n v="99.172799999999995"/>
    <x v="10"/>
    <n v="18.074000000000002"/>
    <n v="4166"/>
    <n v="5.88"/>
  </r>
  <r>
    <s v="GQ3o3saMgko"/>
    <x v="201"/>
    <x v="195"/>
    <x v="2"/>
    <x v="123"/>
    <x v="6"/>
    <n v="58"/>
    <n v="982"/>
    <n v="4.6421000000000001"/>
    <x v="6"/>
    <n v="9.4E-2"/>
    <n v="3828"/>
    <n v="5.36"/>
  </r>
  <r>
    <s v="WiVeXRYGb0w"/>
    <x v="202"/>
    <x v="196"/>
    <x v="2"/>
    <x v="124"/>
    <x v="6"/>
    <n v="53"/>
    <n v="1595"/>
    <n v="3.3174999999999999"/>
    <x v="0"/>
    <n v="0.05"/>
    <n v="2690"/>
    <n v="3.53"/>
  </r>
  <r>
    <s v="RQ1kXneI648"/>
    <x v="203"/>
    <x v="197"/>
    <x v="2"/>
    <x v="124"/>
    <x v="6"/>
    <n v="186"/>
    <n v="895"/>
    <n v="16.5489"/>
    <x v="11"/>
    <n v="15.118"/>
    <n v="9341"/>
    <n v="6.67"/>
  </r>
  <r>
    <s v="rwOQijgTDhg"/>
    <x v="204"/>
    <x v="198"/>
    <x v="2"/>
    <x v="125"/>
    <x v="6"/>
    <n v="58"/>
    <n v="1474"/>
    <n v="4.1669"/>
    <x v="4"/>
    <n v="0.19600000000000001"/>
    <n v="5764"/>
    <n v="2.98"/>
  </r>
  <r>
    <s v="wwJ8SAQ91jM"/>
    <x v="205"/>
    <x v="199"/>
    <x v="2"/>
    <x v="125"/>
    <x v="6"/>
    <n v="51"/>
    <n v="1083"/>
    <n v="3.4914000000000001"/>
    <x v="1"/>
    <n v="0.13500000000000001"/>
    <n v="3712"/>
    <n v="2.5099999999999998"/>
  </r>
  <r>
    <s v="YI4rgYmFBnQ"/>
    <x v="206"/>
    <x v="200"/>
    <x v="2"/>
    <x v="126"/>
    <x v="6"/>
    <n v="52"/>
    <n v="1537"/>
    <n v="3.4037999999999999"/>
    <x v="3"/>
    <n v="6.7000000000000004E-2"/>
    <n v="2752"/>
    <n v="4.03"/>
  </r>
  <r>
    <s v="H8t_8FILdSs"/>
    <x v="207"/>
    <x v="201"/>
    <x v="2"/>
    <x v="127"/>
    <x v="6"/>
    <n v="39"/>
    <n v="1908"/>
    <n v="3.8252000000000002"/>
    <x v="4"/>
    <n v="6.5000000000000002E-2"/>
    <n v="4092"/>
    <n v="3.27"/>
  </r>
  <r>
    <s v="H7z4fueTuxI"/>
    <x v="208"/>
    <x v="202"/>
    <x v="2"/>
    <x v="128"/>
    <x v="6"/>
    <n v="22"/>
    <n v="1212"/>
    <n v="1.7332000000000001"/>
    <x v="1"/>
    <n v="0.38300000000000001"/>
    <n v="2576"/>
    <n v="3.73"/>
  </r>
  <r>
    <s v="3a9ggwxk25I"/>
    <x v="209"/>
    <x v="203"/>
    <x v="2"/>
    <x v="128"/>
    <x v="6"/>
    <n v="48"/>
    <n v="861"/>
    <n v="2.7242999999999999"/>
    <x v="6"/>
    <n v="0.36799999999999999"/>
    <n v="2840"/>
    <n v="5.77"/>
  </r>
  <r>
    <s v="v3qNIGzkPAw"/>
    <x v="210"/>
    <x v="204"/>
    <x v="2"/>
    <x v="129"/>
    <x v="6"/>
    <n v="90"/>
    <n v="821"/>
    <n v="10.924099999999999"/>
    <x v="0"/>
    <n v="28.655000000000001"/>
    <n v="6509"/>
    <n v="9.74"/>
  </r>
  <r>
    <s v="EjPvilt99NA"/>
    <x v="211"/>
    <x v="205"/>
    <x v="2"/>
    <x v="129"/>
    <x v="6"/>
    <n v="40"/>
    <n v="749"/>
    <n v="1.7515000000000001"/>
    <x v="2"/>
    <n v="0.32600000000000001"/>
    <n v="2172"/>
    <n v="5.39"/>
  </r>
  <r>
    <s v="VOd_nbS4teQ"/>
    <x v="166"/>
    <x v="161"/>
    <x v="2"/>
    <x v="130"/>
    <x v="6"/>
    <n v="39"/>
    <n v="1482"/>
    <n v="2.5632000000000001"/>
    <x v="6"/>
    <n v="0.58899999999999997"/>
    <n v="1662"/>
    <n v="4.09"/>
  </r>
  <r>
    <s v="wrP1JcbPxac"/>
    <x v="212"/>
    <x v="206"/>
    <x v="2"/>
    <x v="130"/>
    <x v="6"/>
    <n v="91"/>
    <n v="597"/>
    <n v="8.2550000000000008"/>
    <x v="1"/>
    <n v="25.472999999999999"/>
    <n v="3946"/>
    <n v="11.68"/>
  </r>
  <r>
    <s v="7zwCFsbrs1U"/>
    <x v="213"/>
    <x v="207"/>
    <x v="2"/>
    <x v="131"/>
    <x v="6"/>
    <n v="44"/>
    <n v="1406"/>
    <n v="3.5897999999999999"/>
    <x v="2"/>
    <n v="1.1639999999999999"/>
    <n v="2091"/>
    <n v="4.88"/>
  </r>
  <r>
    <s v="opsvnOxXIKM"/>
    <x v="214"/>
    <x v="208"/>
    <x v="2"/>
    <x v="132"/>
    <x v="6"/>
    <n v="42"/>
    <n v="1167"/>
    <n v="1.9067000000000001"/>
    <x v="4"/>
    <n v="0.58299999999999996"/>
    <n v="1932"/>
    <n v="1.66"/>
  </r>
  <r>
    <s v="knqVvQ2C9E0"/>
    <x v="215"/>
    <x v="209"/>
    <x v="2"/>
    <x v="132"/>
    <x v="6"/>
    <n v="53"/>
    <n v="700"/>
    <n v="1.8271999999999999"/>
    <x v="2"/>
    <n v="0.40100000000000002"/>
    <n v="1834"/>
    <n v="1.42"/>
  </r>
  <r>
    <s v="gwLmnGz3KDo"/>
    <x v="216"/>
    <x v="210"/>
    <x v="2"/>
    <x v="133"/>
    <x v="7"/>
    <n v="103"/>
    <n v="852"/>
    <n v="12.446999999999999"/>
    <x v="4"/>
    <n v="39.045000000000002"/>
    <n v="8565"/>
    <n v="6.82"/>
  </r>
  <r>
    <s v="vHbZLgAdLPk"/>
    <x v="217"/>
    <x v="211"/>
    <x v="2"/>
    <x v="133"/>
    <x v="7"/>
    <n v="31"/>
    <n v="843"/>
    <n v="4.2427000000000001"/>
    <x v="1"/>
    <n v="0.93400000000000005"/>
    <n v="3157"/>
    <n v="3.9"/>
  </r>
  <r>
    <s v="s5Ak6bRNn1M"/>
    <x v="218"/>
    <x v="212"/>
    <x v="2"/>
    <x v="134"/>
    <x v="7"/>
    <n v="53"/>
    <n v="1547"/>
    <n v="3.3892000000000002"/>
    <x v="3"/>
    <n v="0.72699999999999998"/>
    <n v="2068"/>
    <n v="2.1800000000000002"/>
  </r>
  <r>
    <s v="bDwAcsPBb4g"/>
    <x v="219"/>
    <x v="213"/>
    <x v="2"/>
    <x v="134"/>
    <x v="7"/>
    <n v="56"/>
    <n v="1300"/>
    <n v="3.6398999999999999"/>
    <x v="2"/>
    <n v="0.51900000000000002"/>
    <n v="2510"/>
    <n v="4.7"/>
  </r>
  <r>
    <s v="o24g7HmxEGI"/>
    <x v="220"/>
    <x v="214"/>
    <x v="2"/>
    <x v="135"/>
    <x v="7"/>
    <n v="269"/>
    <n v="771"/>
    <n v="20.567900000000002"/>
    <x v="2"/>
    <n v="3.1930000000000001"/>
    <n v="5982"/>
    <n v="11.03"/>
  </r>
  <r>
    <s v="qE-0B9llTuM"/>
    <x v="221"/>
    <x v="215"/>
    <x v="2"/>
    <x v="136"/>
    <x v="7"/>
    <n v="58"/>
    <n v="1090"/>
    <n v="2.6573000000000002"/>
    <x v="1"/>
    <n v="0.49"/>
    <n v="2288"/>
    <n v="4.0199999999999996"/>
  </r>
  <r>
    <s v="uXp6N2DbzW8"/>
    <x v="222"/>
    <x v="216"/>
    <x v="2"/>
    <x v="136"/>
    <x v="7"/>
    <n v="48"/>
    <n v="754"/>
    <n v="1.6089"/>
    <x v="2"/>
    <n v="0.28999999999999998"/>
    <n v="2009"/>
    <n v="4.08"/>
  </r>
  <r>
    <s v="x4796xXMBJ4"/>
    <x v="223"/>
    <x v="217"/>
    <x v="2"/>
    <x v="137"/>
    <x v="7"/>
    <n v="55"/>
    <n v="2109"/>
    <n v="7.1490999999999998"/>
    <x v="0"/>
    <n v="0.65700000000000003"/>
    <n v="4867"/>
    <n v="3.6"/>
  </r>
  <r>
    <s v="B7h4qdrzTTY"/>
    <x v="224"/>
    <x v="218"/>
    <x v="2"/>
    <x v="138"/>
    <x v="7"/>
    <n v="50"/>
    <n v="1142"/>
    <n v="5.5730000000000004"/>
    <x v="1"/>
    <n v="0.49099999999999999"/>
    <n v="4201"/>
    <n v="4.1900000000000004"/>
  </r>
  <r>
    <s v="NxwxpbOLUqA"/>
    <x v="225"/>
    <x v="219"/>
    <x v="2"/>
    <x v="139"/>
    <x v="7"/>
    <n v="69"/>
    <n v="2135"/>
    <n v="12.779299999999999"/>
    <x v="6"/>
    <n v="1.01"/>
    <n v="7965"/>
    <n v="6.74"/>
  </r>
  <r>
    <s v="vhOAsYrZwp0"/>
    <x v="226"/>
    <x v="220"/>
    <x v="2"/>
    <x v="139"/>
    <x v="7"/>
    <n v="35"/>
    <n v="1594"/>
    <n v="4.2256999999999998"/>
    <x v="3"/>
    <n v="0.73799999999999999"/>
    <n v="3527"/>
    <n v="6.27"/>
  </r>
  <r>
    <s v="Cg56UdbkUE4"/>
    <x v="227"/>
    <x v="221"/>
    <x v="2"/>
    <x v="140"/>
    <x v="7"/>
    <n v="56"/>
    <n v="1160"/>
    <n v="2.4861"/>
    <x v="1"/>
    <n v="0.51700000000000002"/>
    <n v="2034"/>
    <n v="4.97"/>
  </r>
  <r>
    <s v="I78P35ig0fk"/>
    <x v="228"/>
    <x v="222"/>
    <x v="2"/>
    <x v="140"/>
    <x v="7"/>
    <n v="47"/>
    <n v="1095"/>
    <n v="2.7791000000000001"/>
    <x v="1"/>
    <n v="0.49"/>
    <n v="5815"/>
    <n v="2.13"/>
  </r>
  <r>
    <s v="xwWIr3Dk1Gc"/>
    <x v="229"/>
    <x v="223"/>
    <x v="2"/>
    <x v="140"/>
    <x v="7"/>
    <n v="215"/>
    <n v="841"/>
    <n v="10.0595"/>
    <x v="2"/>
    <n v="51.703000000000003"/>
    <n v="2650"/>
    <n v="6.57"/>
  </r>
  <r>
    <s v="ajPdOoOpp4g"/>
    <x v="230"/>
    <x v="224"/>
    <x v="2"/>
    <x v="140"/>
    <x v="7"/>
    <n v="166"/>
    <n v="761"/>
    <n v="8.1545000000000005"/>
    <x v="2"/>
    <n v="20.838999999999999"/>
    <n v="4245"/>
    <n v="5.18"/>
  </r>
  <r>
    <s v="KRpmNrjiBuk"/>
    <x v="231"/>
    <x v="225"/>
    <x v="2"/>
    <x v="141"/>
    <x v="7"/>
    <n v="33"/>
    <n v="1952"/>
    <n v="3.4558"/>
    <x v="2"/>
    <n v="0.86699999999999999"/>
    <n v="3767"/>
    <n v="2.65"/>
  </r>
  <r>
    <s v="yfPuvztkd50"/>
    <x v="232"/>
    <x v="226"/>
    <x v="2"/>
    <x v="141"/>
    <x v="7"/>
    <n v="39"/>
    <n v="1938"/>
    <n v="6.8402000000000003"/>
    <x v="3"/>
    <n v="0.748"/>
    <n v="12534"/>
    <n v="4.33"/>
  </r>
  <r>
    <s v="bgQnV_FSurk"/>
    <x v="233"/>
    <x v="227"/>
    <x v="2"/>
    <x v="141"/>
    <x v="7"/>
    <n v="251"/>
    <n v="1224"/>
    <n v="34.3812"/>
    <x v="1"/>
    <n v="148.30500000000001"/>
    <n v="7850"/>
    <n v="13.21"/>
  </r>
  <r>
    <s v="zqJnWIxaFPA"/>
    <x v="234"/>
    <x v="228"/>
    <x v="2"/>
    <x v="142"/>
    <x v="7"/>
    <n v="52"/>
    <n v="845"/>
    <n v="1.7697000000000001"/>
    <x v="2"/>
    <n v="0.223"/>
    <n v="3631"/>
    <n v="2.42"/>
  </r>
  <r>
    <s v="IH4aDWMo6Vk"/>
    <x v="235"/>
    <x v="229"/>
    <x v="2"/>
    <x v="143"/>
    <x v="7"/>
    <n v="50"/>
    <n v="1561"/>
    <n v="4.8746999999999998"/>
    <x v="4"/>
    <n v="0.85399999999999998"/>
    <n v="6003"/>
    <n v="6.01"/>
  </r>
  <r>
    <s v="0Qz3txrAegg"/>
    <x v="236"/>
    <x v="230"/>
    <x v="2"/>
    <x v="144"/>
    <x v="7"/>
    <n v="29"/>
    <n v="1048"/>
    <n v="1.9518"/>
    <x v="6"/>
    <n v="0.36299999999999999"/>
    <n v="4849"/>
    <n v="3.98"/>
  </r>
  <r>
    <s v="wbqvPgrpwkw"/>
    <x v="237"/>
    <x v="231"/>
    <x v="2"/>
    <x v="144"/>
    <x v="7"/>
    <n v="306"/>
    <n v="941"/>
    <n v="25.421399999999998"/>
    <x v="9"/>
    <n v="56.015999999999998"/>
    <n v="8818"/>
    <n v="9"/>
  </r>
  <r>
    <s v="GQS2afanTs0"/>
    <x v="238"/>
    <x v="232"/>
    <x v="2"/>
    <x v="145"/>
    <x v="7"/>
    <n v="49"/>
    <n v="1040"/>
    <n v="3.5310000000000001"/>
    <x v="2"/>
    <n v="0.54100000000000004"/>
    <n v="3540"/>
    <n v="3.62"/>
  </r>
  <r>
    <s v="hpWZnTwiFJg"/>
    <x v="239"/>
    <x v="233"/>
    <x v="2"/>
    <x v="145"/>
    <x v="7"/>
    <n v="131"/>
    <n v="887"/>
    <n v="15.618499999999999"/>
    <x v="1"/>
    <n v="63.180999999999997"/>
    <n v="10156"/>
    <n v="7.79"/>
  </r>
  <r>
    <s v="AMZjolNgH7c"/>
    <x v="240"/>
    <x v="234"/>
    <x v="2"/>
    <x v="146"/>
    <x v="7"/>
    <n v="142"/>
    <n v="792"/>
    <n v="14.923400000000001"/>
    <x v="4"/>
    <n v="60.204000000000001"/>
    <n v="11292"/>
    <n v="5.7"/>
  </r>
  <r>
    <s v="m-N5cwNpRPQ"/>
    <x v="241"/>
    <x v="235"/>
    <x v="2"/>
    <x v="147"/>
    <x v="7"/>
    <n v="49"/>
    <n v="1337"/>
    <n v="4.1083999999999996"/>
    <x v="10"/>
    <n v="0.50800000000000001"/>
    <n v="6230"/>
    <n v="4.3499999999999996"/>
  </r>
  <r>
    <s v="tmFwmWPRx_U"/>
    <x v="242"/>
    <x v="236"/>
    <x v="2"/>
    <x v="148"/>
    <x v="8"/>
    <n v="59"/>
    <n v="1710"/>
    <n v="5.1859000000000002"/>
    <x v="10"/>
    <n v="0.754"/>
    <n v="4158"/>
    <n v="4.18"/>
  </r>
  <r>
    <s v="XHHI-rVHnB0"/>
    <x v="243"/>
    <x v="237"/>
    <x v="2"/>
    <x v="149"/>
    <x v="8"/>
    <n v="24"/>
    <n v="1030"/>
    <n v="2.1798999999999999"/>
    <x v="3"/>
    <n v="0.33300000000000002"/>
    <n v="5632"/>
    <n v="3.53"/>
  </r>
  <r>
    <s v="z2obiR8J-7A"/>
    <x v="244"/>
    <x v="238"/>
    <x v="2"/>
    <x v="150"/>
    <x v="8"/>
    <n v="50"/>
    <n v="1571"/>
    <n v="4.5435999999999996"/>
    <x v="12"/>
    <n v="0.47899999999999998"/>
    <n v="12219"/>
    <n v="2.14"/>
  </r>
  <r>
    <s v="Klv1wvYhLDg"/>
    <x v="245"/>
    <x v="122"/>
    <x v="2"/>
    <x v="151"/>
    <x v="8"/>
    <n v="37"/>
    <n v="1232"/>
    <n v="3.5457000000000001"/>
    <x v="13"/>
    <n v="0.58699999999999997"/>
    <n v="4555"/>
    <n v="3.67"/>
  </r>
  <r>
    <s v="Pp8fD-RB5NA"/>
    <x v="246"/>
    <x v="239"/>
    <x v="2"/>
    <x v="152"/>
    <x v="8"/>
    <n v="50"/>
    <n v="1241"/>
    <n v="4.0517000000000003"/>
    <x v="14"/>
    <n v="0.42799999999999999"/>
    <n v="4801"/>
    <n v="3.87"/>
  </r>
  <r>
    <s v="owMl56JsjrM"/>
    <x v="247"/>
    <x v="240"/>
    <x v="2"/>
    <x v="153"/>
    <x v="8"/>
    <n v="37"/>
    <n v="1140"/>
    <n v="2.7564000000000002"/>
    <x v="7"/>
    <n v="0.50800000000000001"/>
    <n v="4032"/>
    <n v="2.38"/>
  </r>
  <r>
    <s v="PX0Lr7YRPCA"/>
    <x v="248"/>
    <x v="241"/>
    <x v="2"/>
    <x v="154"/>
    <x v="8"/>
    <n v="39"/>
    <n v="993"/>
    <n v="2.5131999999999999"/>
    <x v="10"/>
    <n v="0.31900000000000001"/>
    <n v="4072"/>
    <n v="3.95"/>
  </r>
  <r>
    <s v="UhXTtCvO4Us"/>
    <x v="249"/>
    <x v="242"/>
    <x v="2"/>
    <x v="155"/>
    <x v="8"/>
    <n v="24"/>
    <n v="647"/>
    <n v="1.3308"/>
    <x v="8"/>
    <n v="0.17399999999999999"/>
    <n v="3996"/>
    <n v="2.6"/>
  </r>
  <r>
    <s v="3rs6yYoPM4Q"/>
    <x v="250"/>
    <x v="243"/>
    <x v="2"/>
    <x v="156"/>
    <x v="8"/>
    <n v="36"/>
    <n v="2022"/>
    <n v="4.5157999999999996"/>
    <x v="5"/>
    <n v="0.94099999999999995"/>
    <n v="10250"/>
    <n v="2.42"/>
  </r>
  <r>
    <s v="B9YmdTaf_08"/>
    <x v="251"/>
    <x v="240"/>
    <x v="2"/>
    <x v="157"/>
    <x v="8"/>
    <n v="60"/>
    <n v="830"/>
    <n v="2.2284999999999999"/>
    <x v="3"/>
    <n v="0.28299999999999997"/>
    <n v="3409"/>
    <n v="3.81"/>
  </r>
  <r>
    <s v="SIqI0-iSJx4"/>
    <x v="252"/>
    <x v="244"/>
    <x v="2"/>
    <x v="158"/>
    <x v="8"/>
    <n v="39"/>
    <n v="1397"/>
    <n v="2.9594"/>
    <x v="8"/>
    <n v="0.47199999999999998"/>
    <n v="3125"/>
    <n v="2.91"/>
  </r>
  <r>
    <s v="XDSsTo8j0X0"/>
    <x v="253"/>
    <x v="245"/>
    <x v="2"/>
    <x v="159"/>
    <x v="8"/>
    <n v="23"/>
    <n v="2066"/>
    <n v="4.1200999999999999"/>
    <x v="7"/>
    <n v="1.3420000000000001"/>
    <n v="6515"/>
    <n v="2.95"/>
  </r>
  <r>
    <s v="grGwoNIu6mg"/>
    <x v="254"/>
    <x v="246"/>
    <x v="2"/>
    <x v="159"/>
    <x v="8"/>
    <n v="51"/>
    <n v="943"/>
    <n v="2.3188"/>
    <x v="14"/>
    <n v="0.34100000000000003"/>
    <n v="5811"/>
    <n v="1.5"/>
  </r>
  <r>
    <s v="OH2tFurqggY"/>
    <x v="255"/>
    <x v="247"/>
    <x v="2"/>
    <x v="160"/>
    <x v="8"/>
    <n v="61"/>
    <n v="2074"/>
    <n v="10.694900000000001"/>
    <x v="7"/>
    <n v="0.875"/>
    <n v="9083"/>
    <n v="6.51"/>
  </r>
  <r>
    <s v="FGrGtAQNBg8"/>
    <x v="256"/>
    <x v="248"/>
    <x v="2"/>
    <x v="160"/>
    <x v="8"/>
    <n v="33"/>
    <n v="623"/>
    <n v="1.2882"/>
    <x v="7"/>
    <n v="0.20100000000000001"/>
    <n v="3291"/>
    <n v="2.61"/>
  </r>
  <r>
    <s v="W40reQ3bGZM"/>
    <x v="257"/>
    <x v="249"/>
    <x v="2"/>
    <x v="161"/>
    <x v="8"/>
    <n v="34"/>
    <n v="4582"/>
    <n v="12.076599999999999"/>
    <x v="8"/>
    <n v="1.375"/>
    <n v="58647"/>
    <n v="1.95"/>
  </r>
  <r>
    <s v="tBcmPkNpkKM"/>
    <x v="258"/>
    <x v="250"/>
    <x v="2"/>
    <x v="161"/>
    <x v="8"/>
    <n v="27"/>
    <n v="805"/>
    <n v="1.8087"/>
    <x v="15"/>
    <n v="0.33200000000000002"/>
    <n v="5728"/>
    <n v="2.9"/>
  </r>
  <r>
    <s v="rNt5MVzviXo"/>
    <x v="259"/>
    <x v="251"/>
    <x v="2"/>
    <x v="162"/>
    <x v="8"/>
    <n v="51"/>
    <n v="1528"/>
    <n v="5.8551000000000002"/>
    <x v="11"/>
    <n v="0.82899999999999996"/>
    <n v="7574"/>
    <n v="3.54"/>
  </r>
  <r>
    <s v="q2hcavNlrbg"/>
    <x v="260"/>
    <x v="252"/>
    <x v="2"/>
    <x v="162"/>
    <x v="8"/>
    <n v="61"/>
    <n v="837"/>
    <n v="3.2561"/>
    <x v="12"/>
    <n v="0.28499999999999998"/>
    <n v="3702"/>
    <n v="3.43"/>
  </r>
  <r>
    <s v="QoyrZFfdEkE"/>
    <x v="261"/>
    <x v="253"/>
    <x v="2"/>
    <x v="163"/>
    <x v="8"/>
    <n v="103"/>
    <n v="1774"/>
    <n v="19.3612"/>
    <x v="8"/>
    <n v="0.70299999999999996"/>
    <n v="21323"/>
    <n v="7.21"/>
  </r>
  <r>
    <s v="qnQo96vl_HQ"/>
    <x v="262"/>
    <x v="254"/>
    <x v="2"/>
    <x v="163"/>
    <x v="8"/>
    <n v="50"/>
    <n v="751"/>
    <n v="1.6472"/>
    <x v="7"/>
    <n v="0.28499999999999998"/>
    <n v="3515"/>
    <n v="2.48"/>
  </r>
  <r>
    <s v="IfbEx_xtYWg"/>
    <x v="263"/>
    <x v="255"/>
    <x v="2"/>
    <x v="164"/>
    <x v="9"/>
    <n v="39"/>
    <n v="1265"/>
    <n v="2.9685000000000001"/>
    <x v="9"/>
    <n v="0.375"/>
    <n v="4553"/>
    <n v="2.17"/>
  </r>
  <r>
    <s v="TFBcxUCuWMM"/>
    <x v="264"/>
    <x v="256"/>
    <x v="2"/>
    <x v="165"/>
    <x v="9"/>
    <n v="33"/>
    <n v="1586"/>
    <n v="3.3306"/>
    <x v="6"/>
    <n v="0.73299999999999998"/>
    <n v="5592"/>
    <n v="2.91"/>
  </r>
  <r>
    <s v="nMgWMny-oOM"/>
    <x v="265"/>
    <x v="257"/>
    <x v="2"/>
    <x v="166"/>
    <x v="9"/>
    <n v="56"/>
    <n v="807"/>
    <n v="2.9321000000000002"/>
    <x v="5"/>
    <n v="0.34200000000000003"/>
    <n v="4785"/>
    <n v="2.2999999999999998"/>
  </r>
  <r>
    <s v="f9eKxgip7hk"/>
    <x v="266"/>
    <x v="258"/>
    <x v="2"/>
    <x v="167"/>
    <x v="9"/>
    <n v="48"/>
    <n v="1695"/>
    <n v="6.95"/>
    <x v="12"/>
    <n v="0.72699999999999998"/>
    <n v="13039"/>
    <n v="3.02"/>
  </r>
  <r>
    <s v="2M5m9ctk3T0"/>
    <x v="267"/>
    <x v="259"/>
    <x v="2"/>
    <x v="168"/>
    <x v="9"/>
    <n v="45"/>
    <n v="1814"/>
    <n v="6.944"/>
    <x v="14"/>
    <n v="1.0329999999999999"/>
    <n v="5039"/>
    <n v="4.8600000000000003"/>
  </r>
  <r>
    <s v="Tb2wlNOaomY"/>
    <x v="268"/>
    <x v="260"/>
    <x v="2"/>
    <x v="169"/>
    <x v="9"/>
    <n v="44"/>
    <n v="1554"/>
    <n v="5.5479000000000003"/>
    <x v="16"/>
    <n v="0.751"/>
    <n v="5702"/>
    <n v="4.96"/>
  </r>
  <r>
    <s v="ZJR9UkONM9Q"/>
    <x v="269"/>
    <x v="261"/>
    <x v="2"/>
    <x v="170"/>
    <x v="9"/>
    <n v="38"/>
    <n v="1670"/>
    <n v="7.6474000000000002"/>
    <x v="17"/>
    <n v="0.76200000000000001"/>
    <n v="7542"/>
    <n v="4.07"/>
  </r>
  <r>
    <s v="eQX0PsHwMfE"/>
    <x v="270"/>
    <x v="262"/>
    <x v="2"/>
    <x v="171"/>
    <x v="9"/>
    <n v="30"/>
    <n v="970"/>
    <n v="2.5085999999999999"/>
    <x v="15"/>
    <n v="0.4"/>
    <n v="5113"/>
    <n v="3.29"/>
  </r>
  <r>
    <s v="T03iLhDXH4g"/>
    <x v="271"/>
    <x v="263"/>
    <x v="2"/>
    <x v="172"/>
    <x v="9"/>
    <n v="64"/>
    <n v="1282"/>
    <n v="7.1035000000000004"/>
    <x v="18"/>
    <n v="0.57099999999999995"/>
    <n v="5897"/>
    <n v="6.39"/>
  </r>
  <r>
    <s v="yOPYd7G0jTs"/>
    <x v="272"/>
    <x v="264"/>
    <x v="2"/>
    <x v="173"/>
    <x v="9"/>
    <n v="42"/>
    <n v="1742"/>
    <n v="4.6257999999999999"/>
    <x v="15"/>
    <n v="0.51100000000000001"/>
    <n v="21959"/>
    <n v="1.45"/>
  </r>
  <r>
    <s v="KwEEHZ4zXcw"/>
    <x v="273"/>
    <x v="217"/>
    <x v="2"/>
    <x v="174"/>
    <x v="9"/>
    <n v="43"/>
    <n v="1175"/>
    <n v="4.2186000000000003"/>
    <x v="12"/>
    <n v="0.53200000000000003"/>
    <n v="5678"/>
    <n v="3.47"/>
  </r>
  <r>
    <s v="7iR3ttIp6X0"/>
    <x v="274"/>
    <x v="265"/>
    <x v="2"/>
    <x v="175"/>
    <x v="9"/>
    <n v="38"/>
    <n v="1758"/>
    <n v="3.7700999999999998"/>
    <x v="15"/>
    <n v="0.58599999999999997"/>
    <n v="8886"/>
    <n v="1.74"/>
  </r>
  <r>
    <s v="hK0Q58B-bxQ"/>
    <x v="275"/>
    <x v="266"/>
    <x v="2"/>
    <x v="176"/>
    <x v="9"/>
    <n v="52"/>
    <n v="1465"/>
    <n v="8.1609999999999996"/>
    <x v="19"/>
    <n v="0.82699999999999996"/>
    <n v="7614"/>
    <n v="5.82"/>
  </r>
  <r>
    <s v="NbIPIskNp2g"/>
    <x v="276"/>
    <x v="267"/>
    <x v="2"/>
    <x v="177"/>
    <x v="9"/>
    <n v="32"/>
    <n v="1047"/>
    <n v="2.6595"/>
    <x v="20"/>
    <n v="0.34599999999999997"/>
    <n v="6677"/>
    <n v="2.04"/>
  </r>
  <r>
    <s v="K68ZoHQ1Acs"/>
    <x v="277"/>
    <x v="268"/>
    <x v="2"/>
    <x v="178"/>
    <x v="9"/>
    <n v="35"/>
    <n v="1801"/>
    <n v="6.2962999999999996"/>
    <x v="21"/>
    <n v="0.87"/>
    <n v="11056"/>
    <n v="2.74"/>
  </r>
  <r>
    <s v="dtcfITQfiP0"/>
    <x v="278"/>
    <x v="269"/>
    <x v="2"/>
    <x v="179"/>
    <x v="9"/>
    <n v="31"/>
    <n v="1829"/>
    <n v="4.7393999999999998"/>
    <x v="22"/>
    <n v="0.69"/>
    <n v="5377"/>
    <n v="3.89"/>
  </r>
  <r>
    <s v="e9_nzdDadgQ"/>
    <x v="279"/>
    <x v="270"/>
    <x v="2"/>
    <x v="180"/>
    <x v="10"/>
    <n v="49"/>
    <n v="1667"/>
    <n v="9.6112000000000002"/>
    <x v="23"/>
    <n v="1.107"/>
    <n v="8305"/>
    <n v="6.21"/>
  </r>
  <r>
    <s v="hxNOI0gITyI"/>
    <x v="280"/>
    <x v="271"/>
    <x v="2"/>
    <x v="181"/>
    <x v="10"/>
    <n v="47"/>
    <n v="1091"/>
    <n v="4.9851999999999999"/>
    <x v="24"/>
    <n v="0.79700000000000004"/>
    <n v="4926"/>
    <n v="3.69"/>
  </r>
  <r>
    <s v="9-XS2TvEbQA"/>
    <x v="281"/>
    <x v="272"/>
    <x v="2"/>
    <x v="182"/>
    <x v="10"/>
    <n v="26"/>
    <n v="4316"/>
    <n v="17.036899999999999"/>
    <x v="25"/>
    <n v="2.698"/>
    <n v="23764"/>
    <n v="6.16"/>
  </r>
  <r>
    <s v="5Xvzxt59wP4"/>
    <x v="282"/>
    <x v="273"/>
    <x v="2"/>
    <x v="182"/>
    <x v="10"/>
    <n v="47"/>
    <n v="1563"/>
    <n v="9.6311"/>
    <x v="19"/>
    <n v="1.0549999999999999"/>
    <n v="9350"/>
    <n v="7.21"/>
  </r>
  <r>
    <s v="HhazSkp3ry0"/>
    <x v="283"/>
    <x v="274"/>
    <x v="2"/>
    <x v="183"/>
    <x v="10"/>
    <n v="31"/>
    <n v="2353"/>
    <n v="10.4069"/>
    <x v="26"/>
    <n v="1.9730000000000001"/>
    <n v="9264"/>
    <n v="7.78"/>
  </r>
  <r>
    <s v="b8Wt9GXVLvc"/>
    <x v="284"/>
    <x v="275"/>
    <x v="2"/>
    <x v="184"/>
    <x v="10"/>
    <n v="51"/>
    <n v="1653"/>
    <n v="10.327500000000001"/>
    <x v="22"/>
    <n v="1.3220000000000001"/>
    <n v="8949"/>
    <n v="7.33"/>
  </r>
  <r>
    <s v="18VqjvyfNF8"/>
    <x v="285"/>
    <x v="276"/>
    <x v="2"/>
    <x v="185"/>
    <x v="10"/>
    <n v="35"/>
    <n v="2209"/>
    <n v="9.8635000000000002"/>
    <x v="27"/>
    <n v="1.5169999999999999"/>
    <n v="10514"/>
    <n v="8.1"/>
  </r>
  <r>
    <s v="aGUiTTz3YmQ"/>
    <x v="286"/>
    <x v="277"/>
    <x v="2"/>
    <x v="186"/>
    <x v="10"/>
    <n v="42"/>
    <n v="775"/>
    <n v="5.0270000000000001"/>
    <x v="28"/>
    <n v="0.60299999999999998"/>
    <n v="4676"/>
    <n v="5.75"/>
  </r>
  <r>
    <s v="uo7PTQBp-_4"/>
    <x v="287"/>
    <x v="278"/>
    <x v="2"/>
    <x v="186"/>
    <x v="10"/>
    <n v="104"/>
    <n v="594"/>
    <n v="7.593"/>
    <x v="16"/>
    <n v="0.95399999999999996"/>
    <n v="6357"/>
    <n v="4.45"/>
  </r>
  <r>
    <s v="k3QqLTLxdNc"/>
    <x v="288"/>
    <x v="279"/>
    <x v="2"/>
    <x v="187"/>
    <x v="10"/>
    <n v="18"/>
    <n v="1113"/>
    <n v="3.7296"/>
    <x v="14"/>
    <n v="0.97299999999999998"/>
    <n v="5632"/>
    <n v="5.0199999999999996"/>
  </r>
  <r>
    <s v="gJHW7oL-Y9M"/>
    <x v="289"/>
    <x v="280"/>
    <x v="2"/>
    <x v="187"/>
    <x v="10"/>
    <n v="56"/>
    <n v="641"/>
    <n v="4.4606000000000003"/>
    <x v="23"/>
    <n v="0.47399999999999998"/>
    <n v="4585"/>
    <n v="4.5999999999999996"/>
  </r>
  <r>
    <s v="4WQlbN4WR5k"/>
    <x v="290"/>
    <x v="281"/>
    <x v="2"/>
    <x v="188"/>
    <x v="10"/>
    <n v="42"/>
    <n v="1498"/>
    <n v="7.8124000000000002"/>
    <x v="16"/>
    <n v="1.0940000000000001"/>
    <n v="8440"/>
    <n v="5.78"/>
  </r>
  <r>
    <s v="fDcBT9EEWkE"/>
    <x v="291"/>
    <x v="282"/>
    <x v="2"/>
    <x v="189"/>
    <x v="10"/>
    <n v="23"/>
    <n v="986"/>
    <n v="3.6318999999999999"/>
    <x v="18"/>
    <n v="0.63600000000000001"/>
    <n v="7093"/>
    <n v="5.05"/>
  </r>
  <r>
    <s v="UZCvSRjWfK8"/>
    <x v="292"/>
    <x v="283"/>
    <x v="2"/>
    <x v="190"/>
    <x v="10"/>
    <n v="32"/>
    <n v="10191"/>
    <n v="42.759599999999999"/>
    <x v="27"/>
    <n v="5.673"/>
    <n v="51089"/>
    <n v="8.77"/>
  </r>
  <r>
    <s v="04SS8X1y5ec"/>
    <x v="293"/>
    <x v="284"/>
    <x v="2"/>
    <x v="190"/>
    <x v="10"/>
    <n v="45"/>
    <n v="812"/>
    <n v="7.1417999999999999"/>
    <x v="29"/>
    <n v="0.56299999999999994"/>
    <n v="4352"/>
    <n v="6.76"/>
  </r>
  <r>
    <s v="wzWWLuYoAkA"/>
    <x v="294"/>
    <x v="285"/>
    <x v="2"/>
    <x v="191"/>
    <x v="10"/>
    <n v="51"/>
    <n v="793"/>
    <n v="4.8818999999999999"/>
    <x v="13"/>
    <n v="0.64300000000000002"/>
    <n v="3872"/>
    <n v="6.28"/>
  </r>
  <r>
    <s v="m05Hum9X930"/>
    <x v="295"/>
    <x v="286"/>
    <x v="2"/>
    <x v="192"/>
    <x v="10"/>
    <n v="39"/>
    <n v="1013"/>
    <n v="4.9699"/>
    <x v="12"/>
    <n v="0.74"/>
    <n v="5492"/>
    <n v="4.93"/>
  </r>
  <r>
    <s v="OHlDnwArfYo"/>
    <x v="296"/>
    <x v="287"/>
    <x v="2"/>
    <x v="193"/>
    <x v="10"/>
    <n v="39"/>
    <n v="1756"/>
    <n v="9.1427999999999994"/>
    <x v="21"/>
    <n v="1.36"/>
    <n v="10993"/>
    <n v="3.64"/>
  </r>
  <r>
    <s v="VidiOHvIX2k"/>
    <x v="297"/>
    <x v="288"/>
    <x v="2"/>
    <x v="193"/>
    <x v="10"/>
    <n v="50"/>
    <n v="1134"/>
    <n v="6.3010000000000002"/>
    <x v="30"/>
    <n v="0.66700000000000004"/>
    <n v="7802"/>
    <n v="5.23"/>
  </r>
  <r>
    <s v="DmdRxFTcGAY"/>
    <x v="298"/>
    <x v="289"/>
    <x v="2"/>
    <x v="193"/>
    <x v="10"/>
    <n v="38"/>
    <n v="1055"/>
    <n v="5.0540000000000003"/>
    <x v="30"/>
    <n v="0.81599999999999995"/>
    <n v="5223"/>
    <n v="5.46"/>
  </r>
  <r>
    <s v="qLOOwlIIyFY"/>
    <x v="299"/>
    <x v="290"/>
    <x v="2"/>
    <x v="194"/>
    <x v="10"/>
    <n v="250"/>
    <n v="687"/>
    <n v="9.2050000000000001"/>
    <x v="2"/>
    <n v="67.683999999999997"/>
    <n v="6284"/>
    <n v="9.44"/>
  </r>
  <r>
    <s v="yVAOXeNidGo"/>
    <x v="300"/>
    <x v="291"/>
    <x v="2"/>
    <x v="194"/>
    <x v="10"/>
    <n v="97"/>
    <n v="603"/>
    <n v="5.8434999999999997"/>
    <x v="3"/>
    <n v="25.599"/>
    <n v="8608"/>
    <n v="3.32"/>
  </r>
  <r>
    <s v="nSHGGD2lHm8"/>
    <x v="301"/>
    <x v="292"/>
    <x v="2"/>
    <x v="195"/>
    <x v="10"/>
    <n v="60"/>
    <n v="1931"/>
    <n v="17.601400000000002"/>
    <x v="4"/>
    <n v="282.89800000000002"/>
    <n v="21257"/>
    <n v="6.95"/>
  </r>
  <r>
    <s v="Jsl9d04aV-0"/>
    <x v="302"/>
    <x v="293"/>
    <x v="2"/>
    <x v="195"/>
    <x v="10"/>
    <n v="56"/>
    <n v="1619"/>
    <n v="10.631"/>
    <x v="31"/>
    <n v="1.222"/>
    <n v="13480"/>
    <n v="5.51"/>
  </r>
  <r>
    <s v="VXVlndqK91s"/>
    <x v="303"/>
    <x v="294"/>
    <x v="2"/>
    <x v="195"/>
    <x v="10"/>
    <n v="55"/>
    <n v="816"/>
    <n v="5.6104000000000003"/>
    <x v="32"/>
    <n v="0.82499999999999996"/>
    <n v="11332"/>
    <n v="2.5499999999999998"/>
  </r>
  <r>
    <s v="b9uxxogPUgU"/>
    <x v="304"/>
    <x v="295"/>
    <x v="2"/>
    <x v="195"/>
    <x v="10"/>
    <n v="45"/>
    <n v="678"/>
    <n v="3.7427000000000001"/>
    <x v="22"/>
    <n v="0.52100000000000002"/>
    <n v="5817"/>
    <n v="4.5"/>
  </r>
  <r>
    <s v="CY2yhB9ohj8"/>
    <x v="305"/>
    <x v="296"/>
    <x v="2"/>
    <x v="196"/>
    <x v="10"/>
    <n v="50"/>
    <n v="975"/>
    <n v="6.4489000000000001"/>
    <x v="19"/>
    <n v="0.67200000000000004"/>
    <n v="5620"/>
    <n v="5.21"/>
  </r>
  <r>
    <s v="XvShCIB_v_M"/>
    <x v="306"/>
    <x v="297"/>
    <x v="2"/>
    <x v="197"/>
    <x v="10"/>
    <n v="49"/>
    <n v="2147"/>
    <n v="13.4572"/>
    <x v="22"/>
    <n v="2.0190000000000001"/>
    <n v="12299"/>
    <n v="7.2"/>
  </r>
  <r>
    <s v="oPTmd8rW-IQ"/>
    <x v="307"/>
    <x v="298"/>
    <x v="2"/>
    <x v="197"/>
    <x v="10"/>
    <n v="107"/>
    <n v="661"/>
    <n v="11.3255"/>
    <x v="0"/>
    <n v="45.628999999999998"/>
    <n v="3821"/>
    <n v="4.68"/>
  </r>
  <r>
    <s v="u-4eGzsQMcY"/>
    <x v="308"/>
    <x v="299"/>
    <x v="2"/>
    <x v="197"/>
    <x v="10"/>
    <n v="44"/>
    <n v="615"/>
    <n v="4.3392999999999997"/>
    <x v="0"/>
    <n v="40.81"/>
    <n v="4699"/>
    <n v="9.17"/>
  </r>
  <r>
    <s v="9nA3rQLoVD4"/>
    <x v="309"/>
    <x v="300"/>
    <x v="2"/>
    <x v="198"/>
    <x v="10"/>
    <n v="57"/>
    <n v="1248"/>
    <n v="8.7392000000000003"/>
    <x v="28"/>
    <n v="1.2470000000000001"/>
    <n v="13257"/>
    <n v="2.99"/>
  </r>
  <r>
    <s v="Pqm5nWMS4cg"/>
    <x v="310"/>
    <x v="301"/>
    <x v="2"/>
    <x v="198"/>
    <x v="10"/>
    <n v="48"/>
    <n v="902"/>
    <n v="6.0787000000000004"/>
    <x v="19"/>
    <n v="0.58199999999999996"/>
    <n v="5994"/>
    <n v="6.26"/>
  </r>
  <r>
    <s v="3ZME88TFM98"/>
    <x v="311"/>
    <x v="302"/>
    <x v="2"/>
    <x v="199"/>
    <x v="10"/>
    <n v="36"/>
    <n v="3224"/>
    <n v="30.8857"/>
    <x v="0"/>
    <n v="5.476"/>
    <n v="2534"/>
    <n v="4.46"/>
  </r>
  <r>
    <s v="a0bdrZdypwM"/>
    <x v="312"/>
    <x v="303"/>
    <x v="2"/>
    <x v="199"/>
    <x v="10"/>
    <n v="39"/>
    <n v="877"/>
    <n v="8.3656000000000006"/>
    <x v="0"/>
    <n v="6.03"/>
    <n v="5451"/>
    <n v="3.01"/>
  </r>
  <r>
    <s v="h0jvSJhZrME"/>
    <x v="313"/>
    <x v="304"/>
    <x v="2"/>
    <x v="199"/>
    <x v="10"/>
    <n v="121"/>
    <n v="632"/>
    <n v="13.2882"/>
    <x v="33"/>
    <n v="17.689"/>
    <n v="6662"/>
    <n v="3.39"/>
  </r>
  <r>
    <s v="Fvh5oRjKGs4"/>
    <x v="314"/>
    <x v="305"/>
    <x v="2"/>
    <x v="200"/>
    <x v="10"/>
    <n v="47"/>
    <n v="1749"/>
    <n v="9.7382000000000009"/>
    <x v="18"/>
    <n v="1.19"/>
    <n v="8599"/>
    <n v="6.81"/>
  </r>
  <r>
    <s v="sqeNoWgW-Gc"/>
    <x v="315"/>
    <x v="306"/>
    <x v="2"/>
    <x v="200"/>
    <x v="10"/>
    <n v="105"/>
    <n v="712"/>
    <n v="13.938599999999999"/>
    <x v="0"/>
    <n v="10.545"/>
    <n v="5023"/>
    <n v="3.64"/>
  </r>
  <r>
    <s v="EZSbvsdE1vo"/>
    <x v="316"/>
    <x v="307"/>
    <x v="2"/>
    <x v="201"/>
    <x v="10"/>
    <n v="73"/>
    <n v="1051"/>
    <n v="16.8781"/>
    <x v="0"/>
    <n v="9.5399999999999991"/>
    <n v="2909"/>
    <n v="5.16"/>
  </r>
  <r>
    <s v="973AwApCAW4"/>
    <x v="317"/>
    <x v="308"/>
    <x v="2"/>
    <x v="201"/>
    <x v="10"/>
    <n v="145"/>
    <n v="683"/>
    <n v="16.548200000000001"/>
    <x v="2"/>
    <n v="6.4779999999999998"/>
    <n v="2529"/>
    <n v="4.67"/>
  </r>
  <r>
    <s v="gLyv-X7GERw"/>
    <x v="318"/>
    <x v="309"/>
    <x v="2"/>
    <x v="202"/>
    <x v="11"/>
    <n v="56"/>
    <n v="4407"/>
    <n v="32.313000000000002"/>
    <x v="22"/>
    <n v="4.2320000000000002"/>
    <n v="21499"/>
    <n v="9"/>
  </r>
  <r>
    <s v="lLMSJA4kuhU"/>
    <x v="319"/>
    <x v="310"/>
    <x v="2"/>
    <x v="202"/>
    <x v="11"/>
    <n v="109"/>
    <n v="639"/>
    <n v="12.5535"/>
    <x v="0"/>
    <n v="7.0090000000000003"/>
    <n v="2613"/>
    <n v="6.35"/>
  </r>
  <r>
    <s v="tnPM4q5JCE4"/>
    <x v="320"/>
    <x v="311"/>
    <x v="2"/>
    <x v="203"/>
    <x v="11"/>
    <n v="102"/>
    <n v="1159"/>
    <n v="21.4072"/>
    <x v="34"/>
    <n v="18.291"/>
    <n v="6689"/>
    <n v="6.31"/>
  </r>
  <r>
    <s v="ArTMIHGt2zo"/>
    <x v="321"/>
    <x v="312"/>
    <x v="2"/>
    <x v="204"/>
    <x v="11"/>
    <n v="58"/>
    <n v="3049"/>
    <n v="21.8263"/>
    <x v="28"/>
    <n v="1.7909999999999999"/>
    <n v="15362"/>
    <n v="8.58"/>
  </r>
  <r>
    <s v="4zdEiFchi_M"/>
    <x v="322"/>
    <x v="313"/>
    <x v="2"/>
    <x v="205"/>
    <x v="11"/>
    <n v="29"/>
    <n v="2712"/>
    <n v="11.8742"/>
    <x v="16"/>
    <n v="1.661"/>
    <n v="15262"/>
    <n v="6.58"/>
  </r>
  <r>
    <s v="ShRX6Xib5kU"/>
    <x v="323"/>
    <x v="314"/>
    <x v="3"/>
    <x v="206"/>
    <x v="11"/>
    <n v="27"/>
    <n v="3618"/>
    <n v="13.8992"/>
    <x v="31"/>
    <n v="1.9930000000000001"/>
    <n v="19549"/>
    <n v="7.43"/>
  </r>
  <r>
    <s v="UdjJaWO8jW8"/>
    <x v="324"/>
    <x v="315"/>
    <x v="3"/>
    <x v="206"/>
    <x v="11"/>
    <n v="54"/>
    <n v="778"/>
    <n v="4.7904999999999998"/>
    <x v="17"/>
    <n v="1.1299999999999999"/>
    <n v="4360"/>
    <n v="3.56"/>
  </r>
  <r>
    <s v="3eXnxpyTSM0"/>
    <x v="325"/>
    <x v="316"/>
    <x v="3"/>
    <x v="207"/>
    <x v="11"/>
    <n v="53"/>
    <n v="3773"/>
    <n v="23.662199999999999"/>
    <x v="8"/>
    <n v="2.3319999999999999"/>
    <n v="18887"/>
    <n v="10.01"/>
  </r>
  <r>
    <s v="a07emIFFj9s"/>
    <x v="326"/>
    <x v="317"/>
    <x v="3"/>
    <x v="207"/>
    <x v="11"/>
    <n v="53"/>
    <n v="968"/>
    <n v="5.4241000000000001"/>
    <x v="18"/>
    <n v="0.61499999999999999"/>
    <n v="6894"/>
    <n v="4.21"/>
  </r>
  <r>
    <s v="DB5fyDy8fac"/>
    <x v="327"/>
    <x v="318"/>
    <x v="3"/>
    <x v="207"/>
    <x v="11"/>
    <n v="160"/>
    <n v="931"/>
    <n v="28.054500000000001"/>
    <x v="0"/>
    <n v="49.569000000000003"/>
    <n v="4263"/>
    <n v="3.19"/>
  </r>
  <r>
    <s v="x3cQkPiw31I"/>
    <x v="328"/>
    <x v="319"/>
    <x v="3"/>
    <x v="208"/>
    <x v="11"/>
    <n v="42"/>
    <n v="5274"/>
    <n v="28.576000000000001"/>
    <x v="5"/>
    <n v="2.6360000000000001"/>
    <n v="33833"/>
    <n v="6.86"/>
  </r>
  <r>
    <s v="1Nw51GGUvSE"/>
    <x v="329"/>
    <x v="320"/>
    <x v="3"/>
    <x v="208"/>
    <x v="11"/>
    <n v="49"/>
    <n v="2359"/>
    <n v="14.3507"/>
    <x v="5"/>
    <n v="1.0840000000000001"/>
    <n v="15292"/>
    <n v="6.26"/>
  </r>
  <r>
    <s v="W2O_JqZ_ZMw"/>
    <x v="330"/>
    <x v="321"/>
    <x v="3"/>
    <x v="208"/>
    <x v="11"/>
    <n v="117"/>
    <n v="1512"/>
    <n v="30.180599999999998"/>
    <x v="0"/>
    <n v="26.067"/>
    <n v="5225"/>
    <n v="8.59"/>
  </r>
  <r>
    <s v="5jqL6TcJ4OY"/>
    <x v="331"/>
    <x v="322"/>
    <x v="3"/>
    <x v="209"/>
    <x v="11"/>
    <n v="100"/>
    <n v="2335"/>
    <n v="52.381999999999998"/>
    <x v="0"/>
    <n v="14.151"/>
    <n v="2402"/>
    <n v="6.54"/>
  </r>
  <r>
    <s v="HlXTMZIMzg0"/>
    <x v="332"/>
    <x v="323"/>
    <x v="3"/>
    <x v="210"/>
    <x v="11"/>
    <n v="84"/>
    <n v="2271"/>
    <n v="43.232599999999998"/>
    <x v="0"/>
    <n v="13.417"/>
    <n v="4673"/>
    <n v="3.64"/>
  </r>
  <r>
    <s v="3Y-EHRNmooM"/>
    <x v="333"/>
    <x v="324"/>
    <x v="3"/>
    <x v="210"/>
    <x v="11"/>
    <n v="122"/>
    <n v="2199"/>
    <n v="49.271900000000002"/>
    <x v="2"/>
    <n v="51.634999999999998"/>
    <n v="8285"/>
    <n v="4.71"/>
  </r>
  <r>
    <s v="NNe62upyGyI"/>
    <x v="334"/>
    <x v="325"/>
    <x v="3"/>
    <x v="210"/>
    <x v="11"/>
    <n v="54"/>
    <n v="1282"/>
    <n v="7.2172999999999998"/>
    <x v="4"/>
    <n v="1.397"/>
    <n v="8669"/>
    <n v="5.09"/>
  </r>
  <r>
    <s v="yCyAxCAx-cA"/>
    <x v="335"/>
    <x v="326"/>
    <x v="3"/>
    <x v="210"/>
    <x v="11"/>
    <n v="102"/>
    <n v="630"/>
    <n v="7.6596000000000002"/>
    <x v="2"/>
    <n v="51.923999999999999"/>
    <n v="5426"/>
    <n v="8.0399999999999991"/>
  </r>
  <r>
    <s v="jAq4lLA0_XU"/>
    <x v="336"/>
    <x v="327"/>
    <x v="3"/>
    <x v="211"/>
    <x v="11"/>
    <n v="102"/>
    <n v="4118"/>
    <n v="69.450699999999998"/>
    <x v="14"/>
    <n v="169.92400000000001"/>
    <n v="22890"/>
    <n v="10.38"/>
  </r>
  <r>
    <s v="erX69PitCeA"/>
    <x v="337"/>
    <x v="328"/>
    <x v="3"/>
    <x v="211"/>
    <x v="11"/>
    <n v="77"/>
    <n v="1570"/>
    <n v="26.6313"/>
    <x v="0"/>
    <n v="16.22"/>
    <n v="4794"/>
    <n v="5.78"/>
  </r>
  <r>
    <s v="N5pfq3HColE"/>
    <x v="338"/>
    <x v="329"/>
    <x v="3"/>
    <x v="211"/>
    <x v="11"/>
    <n v="56"/>
    <n v="935"/>
    <n v="6.2065000000000001"/>
    <x v="11"/>
    <n v="1.127"/>
    <n v="5213"/>
    <n v="6"/>
  </r>
  <r>
    <s v="Qtclb4Ce2gY"/>
    <x v="339"/>
    <x v="330"/>
    <x v="3"/>
    <x v="211"/>
    <x v="11"/>
    <n v="47"/>
    <n v="681"/>
    <n v="5.2213000000000003"/>
    <x v="2"/>
    <n v="74.363"/>
    <n v="3763"/>
    <n v="13.26"/>
  </r>
  <r>
    <s v="vp6Pas1jrNE"/>
    <x v="340"/>
    <x v="331"/>
    <x v="3"/>
    <x v="212"/>
    <x v="11"/>
    <n v="60"/>
    <n v="9038"/>
    <n v="57.1126"/>
    <x v="20"/>
    <n v="4.0049999999999999"/>
    <n v="57371"/>
    <n v="6.47"/>
  </r>
  <r>
    <s v="R85_z0YPzE4"/>
    <x v="341"/>
    <x v="332"/>
    <x v="3"/>
    <x v="212"/>
    <x v="11"/>
    <n v="189"/>
    <n v="1783"/>
    <n v="53.8"/>
    <x v="1"/>
    <n v="0.63100000000000001"/>
    <n v="7749"/>
    <n v="9.56"/>
  </r>
  <r>
    <s v="BzxXJ3wFGlA"/>
    <x v="342"/>
    <x v="333"/>
    <x v="3"/>
    <x v="212"/>
    <x v="11"/>
    <n v="52"/>
    <n v="1182"/>
    <n v="8.1822999999999997"/>
    <x v="8"/>
    <n v="0.70299999999999996"/>
    <n v="8328"/>
    <n v="6.03"/>
  </r>
  <r>
    <s v="6-TVa2dElbQ"/>
    <x v="343"/>
    <x v="334"/>
    <x v="3"/>
    <x v="213"/>
    <x v="11"/>
    <n v="58"/>
    <n v="2143"/>
    <n v="14.7613"/>
    <x v="4"/>
    <n v="1.4610000000000001"/>
    <n v="10484"/>
    <n v="10.33"/>
  </r>
  <r>
    <s v="47QvYz0zZQo"/>
    <x v="344"/>
    <x v="335"/>
    <x v="3"/>
    <x v="213"/>
    <x v="11"/>
    <n v="160"/>
    <n v="848"/>
    <n v="18.874099999999999"/>
    <x v="0"/>
    <n v="13.132999999999999"/>
    <n v="2881"/>
    <n v="5.97"/>
  </r>
  <r>
    <s v="aQe2Cg60wp8"/>
    <x v="345"/>
    <x v="336"/>
    <x v="3"/>
    <x v="214"/>
    <x v="11"/>
    <n v="61"/>
    <n v="2595"/>
    <n v="20.6297"/>
    <x v="4"/>
    <n v="1.786"/>
    <n v="11146"/>
    <n v="10.99"/>
  </r>
  <r>
    <s v="SJYEsRmCY9E"/>
    <x v="346"/>
    <x v="337"/>
    <x v="3"/>
    <x v="214"/>
    <x v="11"/>
    <n v="148"/>
    <n v="1327"/>
    <n v="30.229700000000001"/>
    <x v="0"/>
    <n v="30.425000000000001"/>
    <n v="5959"/>
    <n v="7.38"/>
  </r>
  <r>
    <s v="TIv7tO6XUx0"/>
    <x v="347"/>
    <x v="338"/>
    <x v="3"/>
    <x v="215"/>
    <x v="11"/>
    <n v="32"/>
    <n v="3239"/>
    <n v="21.9621"/>
    <x v="1"/>
    <n v="1.286"/>
    <n v="11505"/>
    <n v="7.16"/>
  </r>
  <r>
    <s v="0b8LBfpJs04"/>
    <x v="348"/>
    <x v="339"/>
    <x v="3"/>
    <x v="215"/>
    <x v="11"/>
    <n v="79"/>
    <n v="1526"/>
    <n v="25.085699999999999"/>
    <x v="3"/>
    <n v="28.934000000000001"/>
    <n v="5174"/>
    <n v="5.53"/>
  </r>
  <r>
    <s v="KV7-ZVFdWCc"/>
    <x v="349"/>
    <x v="340"/>
    <x v="3"/>
    <x v="215"/>
    <x v="11"/>
    <n v="72"/>
    <n v="677"/>
    <n v="5.3177000000000003"/>
    <x v="8"/>
    <n v="0.38100000000000001"/>
    <n v="4554"/>
    <n v="6.7"/>
  </r>
  <r>
    <s v="F3fKuEhB_RU"/>
    <x v="350"/>
    <x v="309"/>
    <x v="3"/>
    <x v="216"/>
    <x v="11"/>
    <n v="192"/>
    <n v="2139"/>
    <n v="67.152199999999993"/>
    <x v="2"/>
    <n v="5.8769999999999998"/>
    <n v="7016"/>
    <n v="9.68"/>
  </r>
  <r>
    <s v="aejyQIH2k20"/>
    <x v="351"/>
    <x v="341"/>
    <x v="3"/>
    <x v="216"/>
    <x v="11"/>
    <n v="15"/>
    <n v="1365"/>
    <n v="3.8464999999999998"/>
    <x v="5"/>
    <n v="0.85199999999999998"/>
    <n v="9594"/>
    <n v="4.51"/>
  </r>
  <r>
    <s v="ywo5jpEjUL0"/>
    <x v="352"/>
    <x v="342"/>
    <x v="3"/>
    <x v="216"/>
    <x v="11"/>
    <n v="24"/>
    <n v="826"/>
    <n v="3.1480999999999999"/>
    <x v="3"/>
    <n v="0.50700000000000001"/>
    <n v="6289"/>
    <n v="4.9000000000000004"/>
  </r>
  <r>
    <s v="ZZprZPvdi0M"/>
    <x v="353"/>
    <x v="343"/>
    <x v="3"/>
    <x v="217"/>
    <x v="11"/>
    <n v="151"/>
    <n v="1925"/>
    <n v="55.802799999999998"/>
    <x v="2"/>
    <n v="24.945"/>
    <n v="3256"/>
    <n v="5.31"/>
  </r>
  <r>
    <s v="CmJc-Np1BJA"/>
    <x v="354"/>
    <x v="344"/>
    <x v="3"/>
    <x v="218"/>
    <x v="11"/>
    <n v="173"/>
    <n v="1314"/>
    <n v="23.569600000000001"/>
    <x v="1"/>
    <n v="59.424999999999997"/>
    <n v="7924"/>
    <n v="12.67"/>
  </r>
  <r>
    <s v="VjpFlSy84s8"/>
    <x v="355"/>
    <x v="345"/>
    <x v="3"/>
    <x v="219"/>
    <x v="11"/>
    <n v="163"/>
    <n v="2360"/>
    <n v="52.720199999999998"/>
    <x v="8"/>
    <n v="51.752000000000002"/>
    <n v="6216"/>
    <n v="11.18"/>
  </r>
  <r>
    <s v="2o1HGFaBfoY"/>
    <x v="356"/>
    <x v="346"/>
    <x v="3"/>
    <x v="219"/>
    <x v="11"/>
    <n v="161"/>
    <n v="1869"/>
    <n v="38.694299999999998"/>
    <x v="2"/>
    <n v="10.146000000000001"/>
    <n v="4933"/>
    <n v="3.32"/>
  </r>
  <r>
    <s v="y1K93OwiW80"/>
    <x v="357"/>
    <x v="347"/>
    <x v="3"/>
    <x v="219"/>
    <x v="11"/>
    <n v="85"/>
    <n v="1839"/>
    <n v="25.862300000000001"/>
    <x v="4"/>
    <n v="0.53400000000000003"/>
    <n v="5404"/>
    <n v="5.66"/>
  </r>
  <r>
    <s v=" -s5JBN4nU7c"/>
    <x v="358"/>
    <x v="348"/>
    <x v="3"/>
    <x v="220"/>
    <x v="11"/>
    <n v="81"/>
    <n v="1838"/>
    <n v="30.3354"/>
    <x v="0"/>
    <n v="5.4729999999999999"/>
    <n v="4684"/>
    <n v="2.95"/>
  </r>
  <r>
    <s v="CGIVoeTIXFc"/>
    <x v="359"/>
    <x v="349"/>
    <x v="3"/>
    <x v="220"/>
    <x v="11"/>
    <n v="158"/>
    <n v="1422"/>
    <n v="30.0503"/>
    <x v="0"/>
    <n v="9.6349999999999998"/>
    <n v="5815"/>
    <n v="3.71"/>
  </r>
  <r>
    <s v="NJDMdNrzn5A"/>
    <x v="360"/>
    <x v="319"/>
    <x v="3"/>
    <x v="220"/>
    <x v="11"/>
    <n v="232"/>
    <n v="632"/>
    <n v="18.265499999999999"/>
    <x v="2"/>
    <n v="10.688000000000001"/>
    <n v="4547"/>
    <n v="8.91"/>
  </r>
  <r>
    <s v="c83dg4E6hqs"/>
    <x v="361"/>
    <x v="312"/>
    <x v="3"/>
    <x v="221"/>
    <x v="11"/>
    <n v="386"/>
    <n v="2015"/>
    <n v="69.4024"/>
    <x v="5"/>
    <n v="190.02500000000001"/>
    <n v="13033"/>
    <n v="10.69"/>
  </r>
  <r>
    <s v="KvsLLY9YDrE"/>
    <x v="362"/>
    <x v="350"/>
    <x v="3"/>
    <x v="221"/>
    <x v="11"/>
    <n v="61"/>
    <n v="1092"/>
    <n v="6.7789999999999999"/>
    <x v="4"/>
    <n v="0.59499999999999997"/>
    <n v="6856"/>
    <n v="8.15"/>
  </r>
  <r>
    <s v="WwFx0boyJf4"/>
    <x v="363"/>
    <x v="351"/>
    <x v="3"/>
    <x v="221"/>
    <x v="11"/>
    <n v="65"/>
    <n v="1022"/>
    <n v="7.2107999999999999"/>
    <x v="0"/>
    <n v="0.57999999999999996"/>
    <n v="6891"/>
    <n v="5.98"/>
  </r>
  <r>
    <s v="npVxKdvChlk"/>
    <x v="364"/>
    <x v="352"/>
    <x v="3"/>
    <x v="222"/>
    <x v="11"/>
    <n v="60"/>
    <n v="845"/>
    <n v="4.5358000000000001"/>
    <x v="5"/>
    <n v="0.59199999999999997"/>
    <n v="7437"/>
    <n v="4.29"/>
  </r>
  <r>
    <s v="o8opVPVT5NU"/>
    <x v="365"/>
    <x v="353"/>
    <x v="3"/>
    <x v="222"/>
    <x v="11"/>
    <n v="38"/>
    <n v="605"/>
    <n v="3.2749999999999999"/>
    <x v="2"/>
    <n v="46.161999999999999"/>
    <n v="7206"/>
    <n v="7.13"/>
  </r>
  <r>
    <s v="Y1Kj-lJEAxc"/>
    <x v="366"/>
    <x v="354"/>
    <x v="3"/>
    <x v="223"/>
    <x v="12"/>
    <n v="25"/>
    <n v="5005"/>
    <n v="18.204699999999999"/>
    <x v="9"/>
    <n v="2.5510000000000002"/>
    <n v="44540"/>
    <n v="4.54"/>
  </r>
  <r>
    <s v="zyio9xY9oRo"/>
    <x v="367"/>
    <x v="355"/>
    <x v="3"/>
    <x v="223"/>
    <x v="12"/>
    <n v="78"/>
    <n v="1108"/>
    <n v="10.904400000000001"/>
    <x v="5"/>
    <n v="0.73799999999999999"/>
    <n v="6236"/>
    <n v="7.86"/>
  </r>
  <r>
    <s v="p9UudSOXLXI"/>
    <x v="368"/>
    <x v="356"/>
    <x v="3"/>
    <x v="224"/>
    <x v="12"/>
    <n v="87"/>
    <n v="2392"/>
    <n v="48.094999999999999"/>
    <x v="2"/>
    <n v="15.709"/>
    <n v="3622"/>
    <n v="4.72"/>
  </r>
  <r>
    <s v="w3JdDfpNxQE"/>
    <x v="369"/>
    <x v="357"/>
    <x v="3"/>
    <x v="225"/>
    <x v="12"/>
    <n v="132"/>
    <n v="2188"/>
    <n v="55.490600000000001"/>
    <x v="2"/>
    <n v="19.524000000000001"/>
    <n v="4062"/>
    <n v="6.23"/>
  </r>
  <r>
    <s v="e_sO_saVfn8"/>
    <x v="370"/>
    <x v="358"/>
    <x v="3"/>
    <x v="225"/>
    <x v="12"/>
    <n v="116"/>
    <n v="1651"/>
    <n v="36.198099999999997"/>
    <x v="2"/>
    <n v="14.988"/>
    <n v="6628"/>
    <n v="5.01"/>
  </r>
  <r>
    <s v="RwszVEjaFj8"/>
    <x v="371"/>
    <x v="359"/>
    <x v="3"/>
    <x v="225"/>
    <x v="12"/>
    <n v="67"/>
    <n v="625"/>
    <n v="3.7187999999999999"/>
    <x v="4"/>
    <n v="0.39600000000000002"/>
    <n v="4401"/>
    <n v="4.7300000000000004"/>
  </r>
  <r>
    <s v="xDb1IaWiZx8"/>
    <x v="372"/>
    <x v="360"/>
    <x v="3"/>
    <x v="226"/>
    <x v="12"/>
    <n v="62"/>
    <n v="4410"/>
    <n v="65.416200000000003"/>
    <x v="3"/>
    <n v="66.442999999999998"/>
    <n v="5678"/>
    <n v="11.24"/>
  </r>
  <r>
    <s v="9c9n6iLnaEQ"/>
    <x v="373"/>
    <x v="361"/>
    <x v="3"/>
    <x v="227"/>
    <x v="12"/>
    <n v="56"/>
    <n v="597"/>
    <n v="3.282"/>
    <x v="2"/>
    <n v="0.36499999999999999"/>
    <n v="8084"/>
    <n v="3.33"/>
  </r>
  <r>
    <s v="Fe5s0JdBNbk"/>
    <x v="374"/>
    <x v="362"/>
    <x v="3"/>
    <x v="228"/>
    <x v="12"/>
    <n v="95"/>
    <n v="1865"/>
    <n v="14.7849"/>
    <x v="5"/>
    <n v="1.1319999999999999"/>
    <n v="10941"/>
    <n v="7.28"/>
  </r>
  <r>
    <s v="RH_i9j5FHWw"/>
    <x v="375"/>
    <x v="363"/>
    <x v="3"/>
    <x v="229"/>
    <x v="12"/>
    <n v="31"/>
    <n v="1918"/>
    <n v="8.6614000000000004"/>
    <x v="3"/>
    <n v="1.0669999999999999"/>
    <n v="11298"/>
    <n v="8.26"/>
  </r>
  <r>
    <s v="qnKTrn4kwIc"/>
    <x v="376"/>
    <x v="364"/>
    <x v="3"/>
    <x v="230"/>
    <x v="12"/>
    <n v="300"/>
    <n v="941"/>
    <n v="24.496400000000001"/>
    <x v="8"/>
    <n v="98.622"/>
    <n v="5446"/>
    <n v="15.19"/>
  </r>
  <r>
    <s v="69nWVGUeJuE"/>
    <x v="377"/>
    <x v="365"/>
    <x v="3"/>
    <x v="230"/>
    <x v="12"/>
    <n v="357"/>
    <n v="844"/>
    <n v="30.549800000000001"/>
    <x v="0"/>
    <n v="65.046999999999997"/>
    <n v="5292"/>
    <n v="10.19"/>
  </r>
  <r>
    <s v="JSBc25Wt9EY"/>
    <x v="378"/>
    <x v="366"/>
    <x v="3"/>
    <x v="231"/>
    <x v="12"/>
    <n v="53"/>
    <n v="1200"/>
    <n v="8.7067999999999994"/>
    <x v="0"/>
    <n v="0.622"/>
    <n v="8530"/>
    <n v="5.98"/>
  </r>
  <r>
    <s v="TawxjMKxJd0"/>
    <x v="379"/>
    <x v="367"/>
    <x v="3"/>
    <x v="231"/>
    <x v="12"/>
    <n v="26"/>
    <n v="786"/>
    <n v="2.0724"/>
    <x v="0"/>
    <n v="0.40400000000000003"/>
    <n v="7754"/>
    <n v="3.71"/>
  </r>
  <r>
    <s v="86E4a6-cy3M"/>
    <x v="380"/>
    <x v="368"/>
    <x v="3"/>
    <x v="232"/>
    <x v="12"/>
    <n v="59"/>
    <n v="1041"/>
    <n v="6.2202999999999999"/>
    <x v="1"/>
    <n v="0.59299999999999997"/>
    <n v="5998"/>
    <n v="6.72"/>
  </r>
  <r>
    <s v="__zz-nDFciA"/>
    <x v="381"/>
    <x v="369"/>
    <x v="3"/>
    <x v="232"/>
    <x v="12"/>
    <n v="59"/>
    <n v="805"/>
    <n v="6.4318999999999997"/>
    <x v="2"/>
    <n v="0.54900000000000004"/>
    <n v="5296"/>
    <n v="7.89"/>
  </r>
  <r>
    <s v="V34uO_Pc6DY"/>
    <x v="382"/>
    <x v="370"/>
    <x v="3"/>
    <x v="232"/>
    <x v="12"/>
    <n v="56"/>
    <n v="793"/>
    <n v="4.7576999999999998"/>
    <x v="2"/>
    <n v="0.52500000000000002"/>
    <n v="4918"/>
    <n v="7.38"/>
  </r>
  <r>
    <s v="r3bxDNopfDI"/>
    <x v="383"/>
    <x v="371"/>
    <x v="3"/>
    <x v="233"/>
    <x v="12"/>
    <n v="33"/>
    <n v="1288"/>
    <n v="5.9564000000000004"/>
    <x v="0"/>
    <n v="0.73899999999999999"/>
    <n v="6232"/>
    <n v="8.39"/>
  </r>
  <r>
    <s v="FJ7gTHO5C70"/>
    <x v="384"/>
    <x v="372"/>
    <x v="3"/>
    <x v="234"/>
    <x v="12"/>
    <n v="98"/>
    <n v="4666"/>
    <n v="107.5787"/>
    <x v="0"/>
    <n v="10.904"/>
    <n v="613"/>
    <n v="5.22"/>
  </r>
  <r>
    <s v="cO_6tW9W2EU"/>
    <x v="385"/>
    <x v="373"/>
    <x v="3"/>
    <x v="235"/>
    <x v="13"/>
    <n v="53"/>
    <n v="1259"/>
    <n v="12.0092"/>
    <x v="2"/>
    <n v="120.23399999999999"/>
    <n v="7643"/>
    <n v="13.79"/>
  </r>
  <r>
    <s v="U-Xp4DSO5Vg"/>
    <x v="386"/>
    <x v="374"/>
    <x v="3"/>
    <x v="236"/>
    <x v="13"/>
    <n v="64"/>
    <n v="912"/>
    <n v="5.8132000000000001"/>
    <x v="2"/>
    <n v="0.48199999999999998"/>
    <n v="6045"/>
    <n v="7.06"/>
  </r>
  <r>
    <s v="LIxpCEuB5H0"/>
    <x v="387"/>
    <x v="375"/>
    <x v="3"/>
    <x v="237"/>
    <x v="13"/>
    <n v="56"/>
    <n v="609"/>
    <n v="3.6741999999999999"/>
    <x v="0"/>
    <n v="0.48099999999999998"/>
    <n v="4638"/>
    <n v="5.43"/>
  </r>
  <r>
    <s v="kqDdn2Rhvm0"/>
    <x v="388"/>
    <x v="376"/>
    <x v="3"/>
    <x v="238"/>
    <x v="13"/>
    <n v="90"/>
    <n v="892"/>
    <n v="7.5412999999999997"/>
    <x v="0"/>
    <n v="0.49099999999999999"/>
    <n v="5902"/>
    <n v="6.03"/>
  </r>
  <r>
    <s v="JhEMq88OVUA"/>
    <x v="389"/>
    <x v="377"/>
    <x v="3"/>
    <x v="238"/>
    <x v="13"/>
    <n v="39"/>
    <n v="808"/>
    <n v="3.8652000000000002"/>
    <x v="0"/>
    <n v="0.37"/>
    <n v="6010"/>
    <n v="5.99"/>
  </r>
  <r>
    <s v="7R3_7lGr0Zg"/>
    <x v="390"/>
    <x v="378"/>
    <x v="3"/>
    <x v="239"/>
    <x v="13"/>
    <n v="102"/>
    <n v="620"/>
    <n v="7.6517999999999997"/>
    <x v="2"/>
    <n v="50.162999999999997"/>
    <n v="2435"/>
    <n v="19.22"/>
  </r>
  <r>
    <s v="hwXwqZbHcNc"/>
    <x v="391"/>
    <x v="379"/>
    <x v="3"/>
    <x v="240"/>
    <x v="13"/>
    <n v="60"/>
    <n v="5679"/>
    <n v="37.305900000000001"/>
    <x v="6"/>
    <n v="3.1549999999999998"/>
    <n v="28543"/>
    <n v="10.53"/>
  </r>
  <r>
    <s v="MfB68QeNzuY"/>
    <x v="392"/>
    <x v="380"/>
    <x v="3"/>
    <x v="240"/>
    <x v="13"/>
    <n v="66"/>
    <n v="640"/>
    <n v="6.7381000000000002"/>
    <x v="4"/>
    <n v="162.62100000000001"/>
    <n v="5885"/>
    <n v="7.99"/>
  </r>
  <r>
    <s v="HbMsg3s_AEQ"/>
    <x v="393"/>
    <x v="381"/>
    <x v="3"/>
    <x v="241"/>
    <x v="13"/>
    <n v="131"/>
    <n v="4489"/>
    <n v="65.652799999999999"/>
    <x v="12"/>
    <n v="409.96499999999997"/>
    <n v="30452"/>
    <n v="13.13"/>
  </r>
  <r>
    <s v="RTMWYC7JWrw"/>
    <x v="394"/>
    <x v="382"/>
    <x v="3"/>
    <x v="242"/>
    <x v="13"/>
    <n v="81"/>
    <n v="631"/>
    <n v="9.6060999999999996"/>
    <x v="0"/>
    <n v="36.554000000000002"/>
    <n v="2556"/>
    <n v="19.25"/>
  </r>
  <r>
    <s v="xT3Wqho2dvM"/>
    <x v="395"/>
    <x v="383"/>
    <x v="3"/>
    <x v="243"/>
    <x v="14"/>
    <n v="145"/>
    <n v="1575"/>
    <n v="26.4268"/>
    <x v="9"/>
    <n v="459.79599999999999"/>
    <n v="9370"/>
    <n v="14.75"/>
  </r>
  <r>
    <s v="WMVg-cuHYlQ"/>
    <x v="396"/>
    <x v="384"/>
    <x v="3"/>
    <x v="243"/>
    <x v="14"/>
    <n v="54"/>
    <n v="1556"/>
    <n v="10.261100000000001"/>
    <x v="0"/>
    <n v="0.86899999999999999"/>
    <n v="8293"/>
    <n v="10.33"/>
  </r>
  <r>
    <s v="bzBpj0uvAjI"/>
    <x v="397"/>
    <x v="385"/>
    <x v="3"/>
    <x v="244"/>
    <x v="14"/>
    <n v="44"/>
    <n v="11072"/>
    <n v="63.210999999999999"/>
    <x v="6"/>
    <n v="6.0869999999999997"/>
    <n v="58562"/>
    <n v="6.66"/>
  </r>
  <r>
    <s v="tCiKXchqPzc"/>
    <x v="398"/>
    <x v="386"/>
    <x v="3"/>
    <x v="244"/>
    <x v="14"/>
    <n v="123"/>
    <n v="624"/>
    <n v="9.6737000000000002"/>
    <x v="2"/>
    <n v="51.262999999999998"/>
    <n v="2896"/>
    <n v="17.989999999999998"/>
  </r>
  <r>
    <s v="ED0w3kecKIw"/>
    <x v="399"/>
    <x v="387"/>
    <x v="3"/>
    <x v="245"/>
    <x v="14"/>
    <n v="59"/>
    <n v="998"/>
    <n v="8.9383999999999997"/>
    <x v="0"/>
    <n v="0.51700000000000002"/>
    <n v="5030"/>
    <n v="8.51"/>
  </r>
  <r>
    <s v="Xq2eJDnY8CM"/>
    <x v="400"/>
    <x v="388"/>
    <x v="3"/>
    <x v="245"/>
    <x v="14"/>
    <n v="46"/>
    <n v="690"/>
    <n v="2.8369"/>
    <x v="0"/>
    <n v="0.33900000000000002"/>
    <n v="5381"/>
    <n v="4.5199999999999996"/>
  </r>
  <r>
    <s v="DL5nuXt6ujs"/>
    <x v="401"/>
    <x v="389"/>
    <x v="3"/>
    <x v="246"/>
    <x v="14"/>
    <n v="63"/>
    <n v="856"/>
    <n v="6.8930999999999996"/>
    <x v="0"/>
    <n v="0.36699999999999999"/>
    <n v="5246"/>
    <n v="6.94"/>
  </r>
  <r>
    <s v="4BIqqIiNBeY"/>
    <x v="402"/>
    <x v="390"/>
    <x v="3"/>
    <x v="247"/>
    <x v="14"/>
    <n v="1236"/>
    <n v="676"/>
    <n v="40.4818"/>
    <x v="4"/>
    <n v="95.725999999999999"/>
    <n v="7058"/>
    <n v="7.03"/>
  </r>
  <r>
    <s v="fcR9qe7DDJo"/>
    <x v="403"/>
    <x v="391"/>
    <x v="3"/>
    <x v="248"/>
    <x v="14"/>
    <n v="44"/>
    <n v="642"/>
    <n v="3.6011000000000002"/>
    <x v="0"/>
    <n v="0.30399999999999999"/>
    <n v="4427"/>
    <n v="6.28"/>
  </r>
  <r>
    <s v="E3sGf-mSEt4"/>
    <x v="404"/>
    <x v="392"/>
    <x v="3"/>
    <x v="249"/>
    <x v="14"/>
    <n v="60"/>
    <n v="723"/>
    <n v="4.5658000000000003"/>
    <x v="0"/>
    <n v="0.32600000000000001"/>
    <n v="3208"/>
    <n v="8.92"/>
  </r>
  <r>
    <s v="cpdQnCOvlFo"/>
    <x v="405"/>
    <x v="393"/>
    <x v="3"/>
    <x v="250"/>
    <x v="14"/>
    <n v="102"/>
    <n v="1054"/>
    <n v="14.685"/>
    <x v="0"/>
    <n v="55.161999999999999"/>
    <n v="2099"/>
    <n v="11.58"/>
  </r>
  <r>
    <s v="0un3r1IFT4w"/>
    <x v="406"/>
    <x v="394"/>
    <x v="3"/>
    <x v="251"/>
    <x v="15"/>
    <n v="68"/>
    <n v="712"/>
    <n v="7.0298999999999996"/>
    <x v="2"/>
    <n v="19.271999999999998"/>
    <n v="4021"/>
    <n v="12.21"/>
  </r>
  <r>
    <s v="R5sS201kqzg"/>
    <x v="407"/>
    <x v="395"/>
    <x v="3"/>
    <x v="252"/>
    <x v="15"/>
    <n v="60"/>
    <n v="2881"/>
    <n v="19.398399999999999"/>
    <x v="1"/>
    <n v="1.323"/>
    <n v="18129"/>
    <n v="6.54"/>
  </r>
  <r>
    <s v="fsd1uIX2aZY"/>
    <x v="407"/>
    <x v="395"/>
    <x v="3"/>
    <x v="252"/>
    <x v="15"/>
    <n v="61"/>
    <n v="828"/>
    <n v="5.0484"/>
    <x v="2"/>
    <n v="0.29599999999999999"/>
    <n v="5758"/>
    <n v="4.5"/>
  </r>
  <r>
    <s v="n2Iq0mIsxaA"/>
    <x v="408"/>
    <x v="396"/>
    <x v="3"/>
    <x v="253"/>
    <x v="16"/>
    <n v="60"/>
    <n v="3984"/>
    <n v="40.119"/>
    <x v="13"/>
    <n v="285.99400000000003"/>
    <n v="18023"/>
    <n v="16.350000000000001"/>
  </r>
  <r>
    <s v="nbKBFX1giWU"/>
    <x v="409"/>
    <x v="397"/>
    <x v="3"/>
    <x v="254"/>
    <x v="17"/>
    <n v="53"/>
    <n v="4007"/>
    <n v="25.039000000000001"/>
    <x v="5"/>
    <n v="2.3340000000000001"/>
    <n v="21870"/>
    <n v="8"/>
  </r>
  <r>
    <s v="rtvs_T7evw8"/>
    <x v="410"/>
    <x v="398"/>
    <x v="3"/>
    <x v="255"/>
    <x v="17"/>
    <n v="60"/>
    <n v="945"/>
    <n v="6.6878000000000002"/>
    <x v="0"/>
    <n v="0.371"/>
    <n v="4781"/>
    <n v="6.59"/>
  </r>
  <r>
    <s v="SBJtV416T74"/>
    <x v="411"/>
    <x v="399"/>
    <x v="3"/>
    <x v="256"/>
    <x v="17"/>
    <n v="60"/>
    <n v="1115"/>
    <n v="7.2361000000000004"/>
    <x v="2"/>
    <n v="0.59899999999999998"/>
    <n v="7063"/>
    <n v="6.7"/>
  </r>
  <r>
    <s v="mKQcfDDTZAw"/>
    <x v="412"/>
    <x v="400"/>
    <x v="3"/>
    <x v="257"/>
    <x v="17"/>
    <n v="23"/>
    <n v="3775"/>
    <n v="13.786"/>
    <x v="6"/>
    <n v="1.766"/>
    <n v="24805"/>
    <n v="5.58"/>
  </r>
  <r>
    <s v="H0e8qdthuKg"/>
    <x v="413"/>
    <x v="401"/>
    <x v="3"/>
    <x v="257"/>
    <x v="17"/>
    <n v="121"/>
    <n v="1066"/>
    <n v="17.586600000000001"/>
    <x v="0"/>
    <n v="115.44499999999999"/>
    <n v="5682"/>
    <n v="14.26"/>
  </r>
  <r>
    <s v="r9j4r-sGvCo"/>
    <x v="414"/>
    <x v="402"/>
    <x v="3"/>
    <x v="258"/>
    <x v="17"/>
    <n v="10"/>
    <n v="4225"/>
    <n v="9.0936000000000003"/>
    <x v="4"/>
    <n v="1.899"/>
    <n v="29733"/>
    <n v="4.17"/>
  </r>
  <r>
    <s v="SXVVw7nXZNw"/>
    <x v="415"/>
    <x v="403"/>
    <x v="3"/>
    <x v="259"/>
    <x v="17"/>
    <n v="38"/>
    <n v="1163"/>
    <n v="7.1074999999999999"/>
    <x v="6"/>
    <n v="76.111999999999995"/>
    <n v="9627"/>
    <n v="9.74"/>
  </r>
  <r>
    <s v="gqmhLxs-XoE"/>
    <x v="416"/>
    <x v="404"/>
    <x v="3"/>
    <x v="259"/>
    <x v="17"/>
    <n v="60"/>
    <n v="889"/>
    <n v="8.6095000000000006"/>
    <x v="4"/>
    <n v="38.304000000000002"/>
    <n v="7335"/>
    <n v="10.52"/>
  </r>
  <r>
    <s v="9Zu_tPsBPtU"/>
    <x v="417"/>
    <x v="405"/>
    <x v="3"/>
    <x v="260"/>
    <x v="17"/>
    <n v="69"/>
    <n v="1135"/>
    <n v="12.332599999999999"/>
    <x v="3"/>
    <n v="65.843999999999994"/>
    <n v="10465"/>
    <n v="9.86"/>
  </r>
  <r>
    <s v="WMh080oBD50"/>
    <x v="418"/>
    <x v="406"/>
    <x v="3"/>
    <x v="261"/>
    <x v="17"/>
    <n v="61"/>
    <n v="2971"/>
    <n v="29.086300000000001"/>
    <x v="12"/>
    <n v="145.815"/>
    <n v="21537"/>
    <n v="12.18"/>
  </r>
  <r>
    <s v="bcylP2fsxO8"/>
    <x v="419"/>
    <x v="407"/>
    <x v="3"/>
    <x v="262"/>
    <x v="17"/>
    <n v="15"/>
    <n v="59152"/>
    <n v="141.93549999999999"/>
    <x v="35"/>
    <n v="22.24"/>
    <n v="349477"/>
    <n v="4.55"/>
  </r>
  <r>
    <s v="FOvofQszK8g"/>
    <x v="420"/>
    <x v="408"/>
    <x v="3"/>
    <x v="263"/>
    <x v="17"/>
    <n v="60"/>
    <n v="1113"/>
    <n v="8.0518000000000001"/>
    <x v="1"/>
    <n v="0.53400000000000003"/>
    <n v="6665"/>
    <n v="8.07"/>
  </r>
  <r>
    <s v="JI8OnbBk-Uw"/>
    <x v="421"/>
    <x v="409"/>
    <x v="3"/>
    <x v="264"/>
    <x v="18"/>
    <n v="359"/>
    <n v="712"/>
    <n v="15.8758"/>
    <x v="1"/>
    <n v="81.41"/>
    <n v="4699"/>
    <n v="12.94"/>
  </r>
  <r>
    <s v="mqNzouaOZvQ"/>
    <x v="422"/>
    <x v="410"/>
    <x v="3"/>
    <x v="264"/>
    <x v="18"/>
    <n v="51"/>
    <n v="616"/>
    <n v="4.8018000000000001"/>
    <x v="2"/>
    <n v="61.878"/>
    <n v="4845"/>
    <n v="11.17"/>
  </r>
  <r>
    <s v="HNi5Tsgqjm4"/>
    <x v="423"/>
    <x v="411"/>
    <x v="3"/>
    <x v="265"/>
    <x v="19"/>
    <n v="77"/>
    <n v="933"/>
    <n v="12.4352"/>
    <x v="0"/>
    <n v="142.77000000000001"/>
    <n v="9467"/>
    <n v="8.17"/>
  </r>
  <r>
    <s v="f_0bNdHx9G4"/>
    <x v="424"/>
    <x v="412"/>
    <x v="3"/>
    <x v="266"/>
    <x v="19"/>
    <n v="172"/>
    <n v="1429"/>
    <n v="25.962800000000001"/>
    <x v="3"/>
    <n v="74.643000000000001"/>
    <n v="8587"/>
    <n v="13.81"/>
  </r>
  <r>
    <s v="Sy9_oo_N_hw"/>
    <x v="425"/>
    <x v="413"/>
    <x v="3"/>
    <x v="267"/>
    <x v="20"/>
    <n v="12"/>
    <n v="2336"/>
    <n v="4.5175999999999998"/>
    <x v="0"/>
    <n v="0.7"/>
    <n v="15527"/>
    <n v="3.12"/>
  </r>
  <r>
    <s v="xlbqqN4CTVo"/>
    <x v="426"/>
    <x v="414"/>
    <x v="3"/>
    <x v="268"/>
    <x v="21"/>
    <n v="426"/>
    <n v="657"/>
    <n v="19.752500000000001"/>
    <x v="1"/>
    <n v="33.884"/>
    <n v="5169"/>
    <n v="10.83"/>
  </r>
  <r>
    <s v="iOqNUTgGn4U"/>
    <x v="427"/>
    <x v="415"/>
    <x v="3"/>
    <x v="269"/>
    <x v="22"/>
    <n v="39"/>
    <n v="2309"/>
    <n v="13.162699999999999"/>
    <x v="1"/>
    <n v="1.115"/>
    <n v="12036"/>
    <n v="8.64"/>
  </r>
  <r>
    <s v="KSupzYSgwx0"/>
    <x v="428"/>
    <x v="416"/>
    <x v="3"/>
    <x v="270"/>
    <x v="22"/>
    <n v="283"/>
    <n v="1054"/>
    <n v="28.5258"/>
    <x v="2"/>
    <n v="82.17"/>
    <n v="6652"/>
    <n v="10.27"/>
  </r>
  <r>
    <s v="3b-l6dG4cks"/>
    <x v="429"/>
    <x v="417"/>
    <x v="3"/>
    <x v="270"/>
    <x v="22"/>
    <n v="31"/>
    <n v="721"/>
    <n v="3.4971000000000001"/>
    <x v="2"/>
    <n v="0.38800000000000001"/>
    <n v="3969"/>
    <n v="5.74"/>
  </r>
  <r>
    <s v="6EltaJZE69Q"/>
    <x v="430"/>
    <x v="418"/>
    <x v="3"/>
    <x v="271"/>
    <x v="22"/>
    <n v="40"/>
    <n v="698"/>
    <n v="2.7378"/>
    <x v="2"/>
    <n v="0.33100000000000002"/>
    <n v="4471"/>
    <n v="4.67"/>
  </r>
  <r>
    <s v="ZQFm2mGWj80"/>
    <x v="431"/>
    <x v="419"/>
    <x v="3"/>
    <x v="272"/>
    <x v="23"/>
    <n v="25"/>
    <n v="1168"/>
    <n v="3.6065"/>
    <x v="0"/>
    <n v="0.52600000000000002"/>
    <n v="7609"/>
    <n v="4.43"/>
  </r>
  <r>
    <s v=" -ezxI3CEXYI"/>
    <x v="432"/>
    <x v="420"/>
    <x v="3"/>
    <x v="273"/>
    <x v="24"/>
    <n v="53"/>
    <n v="685"/>
    <n v="4.4269999999999996"/>
    <x v="2"/>
    <n v="0.43"/>
    <n v="5374"/>
    <n v="7.31"/>
  </r>
  <r>
    <s v="xMDTvDlyEVM"/>
    <x v="433"/>
    <x v="421"/>
    <x v="3"/>
    <x v="274"/>
    <x v="25"/>
    <n v="621"/>
    <n v="775"/>
    <n v="36.1113"/>
    <x v="4"/>
    <n v="74.995000000000005"/>
    <n v="3965"/>
    <n v="12.53"/>
  </r>
  <r>
    <s v="8h_xZWIuog4"/>
    <x v="434"/>
    <x v="422"/>
    <x v="3"/>
    <x v="275"/>
    <x v="25"/>
    <n v="299"/>
    <n v="609"/>
    <n v="15.7735"/>
    <x v="1"/>
    <n v="90.85"/>
    <n v="3745"/>
    <n v="11.54"/>
  </r>
  <r>
    <s v="PfOGnze7j4E"/>
    <x v="435"/>
    <x v="423"/>
    <x v="3"/>
    <x v="276"/>
    <x v="25"/>
    <n v="524"/>
    <n v="795"/>
    <n v="26.715599999999998"/>
    <x v="2"/>
    <n v="1E-3"/>
    <n v="6975"/>
    <n v="9.58"/>
  </r>
  <r>
    <s v="brewyXUZXsw"/>
    <x v="436"/>
    <x v="424"/>
    <x v="3"/>
    <x v="277"/>
    <x v="25"/>
    <n v="50"/>
    <n v="1659"/>
    <n v="12.341799999999999"/>
    <x v="3"/>
    <n v="1.113"/>
    <n v="10165"/>
    <n v="7.39"/>
  </r>
  <r>
    <s v="PO5_CpqRPq0"/>
    <x v="437"/>
    <x v="425"/>
    <x v="3"/>
    <x v="278"/>
    <x v="25"/>
    <n v="48"/>
    <n v="676"/>
    <n v="3.5438999999999998"/>
    <x v="0"/>
    <n v="0.308"/>
    <n v="3758"/>
    <n v="4.0999999999999996"/>
  </r>
  <r>
    <s v="lcBAW3Rv4jA"/>
    <x v="438"/>
    <x v="426"/>
    <x v="3"/>
    <x v="279"/>
    <x v="25"/>
    <n v="114"/>
    <n v="673"/>
    <n v="8.7062000000000008"/>
    <x v="1"/>
    <n v="19.178000000000001"/>
    <n v="5405"/>
    <n v="11.27"/>
  </r>
  <r>
    <s v="GHd1NMbwk_4"/>
    <x v="439"/>
    <x v="427"/>
    <x v="3"/>
    <x v="280"/>
    <x v="25"/>
    <n v="49"/>
    <n v="1060"/>
    <n v="6.6501000000000001"/>
    <x v="1"/>
    <n v="0.69899999999999995"/>
    <n v="6808"/>
    <n v="7.05"/>
  </r>
  <r>
    <s v="QrDz1Nf1q5k"/>
    <x v="440"/>
    <x v="428"/>
    <x v="3"/>
    <x v="280"/>
    <x v="25"/>
    <n v="124"/>
    <n v="1007"/>
    <n v="17.414000000000001"/>
    <x v="1"/>
    <n v="218.35499999999999"/>
    <n v="7833"/>
    <n v="11.6"/>
  </r>
  <r>
    <s v="f2jpoeleDdI"/>
    <x v="441"/>
    <x v="429"/>
    <x v="3"/>
    <x v="281"/>
    <x v="25"/>
    <n v="57"/>
    <n v="7124"/>
    <n v="43.868200000000002"/>
    <x v="15"/>
    <n v="4.133"/>
    <n v="36383"/>
    <n v="5.68"/>
  </r>
  <r>
    <s v="F12wRFuaOcI"/>
    <x v="439"/>
    <x v="427"/>
    <x v="3"/>
    <x v="281"/>
    <x v="25"/>
    <n v="95"/>
    <n v="596"/>
    <n v="9.1983999999999995"/>
    <x v="0"/>
    <n v="60.171999999999997"/>
    <n v="4584"/>
    <n v="11.17"/>
  </r>
  <r>
    <s v="Ko_AXH1fSdM"/>
    <x v="442"/>
    <x v="430"/>
    <x v="3"/>
    <x v="282"/>
    <x v="26"/>
    <n v="115"/>
    <n v="606"/>
    <n v="8.7957000000000001"/>
    <x v="1"/>
    <n v="42.734999999999999"/>
    <n v="5047"/>
    <n v="9.25"/>
  </r>
  <r>
    <s v="fabrQ7R4-ys"/>
    <x v="443"/>
    <x v="431"/>
    <x v="3"/>
    <x v="283"/>
    <x v="26"/>
    <n v="55"/>
    <n v="971"/>
    <n v="7.4443999999999999"/>
    <x v="1"/>
    <n v="0.70699999999999996"/>
    <n v="5924"/>
    <n v="7.8"/>
  </r>
  <r>
    <s v="6XN5lZMGKCI"/>
    <x v="444"/>
    <x v="432"/>
    <x v="3"/>
    <x v="284"/>
    <x v="26"/>
    <n v="59"/>
    <n v="661"/>
    <n v="2.9001000000000001"/>
    <x v="0"/>
    <n v="0.28100000000000003"/>
    <n v="330"/>
    <n v="1.21"/>
  </r>
  <r>
    <s v="Ggx4xSjGhXE"/>
    <x v="445"/>
    <x v="433"/>
    <x v="3"/>
    <x v="285"/>
    <x v="26"/>
    <n v="448"/>
    <n v="750"/>
    <n v="15.867000000000001"/>
    <x v="0"/>
    <n v="105.473"/>
    <n v="2153"/>
    <n v="20.48"/>
  </r>
  <r>
    <s v="3_9U427np30"/>
    <x v="446"/>
    <x v="434"/>
    <x v="3"/>
    <x v="286"/>
    <x v="26"/>
    <n v="52"/>
    <n v="826"/>
    <n v="6.8182999999999998"/>
    <x v="2"/>
    <n v="0.41799999999999998"/>
    <n v="4621"/>
    <n v="6.58"/>
  </r>
  <r>
    <s v="aZ8KNniYEYY"/>
    <x v="447"/>
    <x v="435"/>
    <x v="3"/>
    <x v="287"/>
    <x v="26"/>
    <n v="24"/>
    <n v="838"/>
    <n v="2.5688"/>
    <x v="0"/>
    <n v="0.434"/>
    <n v="5195"/>
    <n v="5.89"/>
  </r>
  <r>
    <s v="ls6AENy_bIg"/>
    <x v="448"/>
    <x v="431"/>
    <x v="3"/>
    <x v="288"/>
    <x v="27"/>
    <n v="31"/>
    <n v="677"/>
    <n v="2.8473000000000002"/>
    <x v="0"/>
    <n v="0.56000000000000005"/>
    <n v="3947"/>
    <n v="7.35"/>
  </r>
  <r>
    <s v="YBke52IRg1c"/>
    <x v="449"/>
    <x v="436"/>
    <x v="3"/>
    <x v="289"/>
    <x v="27"/>
    <n v="41"/>
    <n v="3678"/>
    <n v="20.410900000000002"/>
    <x v="8"/>
    <n v="1.9710000000000001"/>
    <n v="25156"/>
    <n v="5.9"/>
  </r>
  <r>
    <s v="EpaGuVB-4LQ"/>
    <x v="450"/>
    <x v="437"/>
    <x v="3"/>
    <x v="290"/>
    <x v="27"/>
    <n v="59"/>
    <n v="2436"/>
    <n v="15.6229"/>
    <x v="4"/>
    <n v="1.5720000000000001"/>
    <n v="15680"/>
    <n v="5.89"/>
  </r>
  <r>
    <s v=" -EFRo1mKRt4"/>
    <x v="451"/>
    <x v="438"/>
    <x v="3"/>
    <x v="291"/>
    <x v="27"/>
    <n v="60"/>
    <n v="3269"/>
    <n v="24.161999999999999"/>
    <x v="8"/>
    <n v="1.7869999999999999"/>
    <n v="18545"/>
    <n v="8.68"/>
  </r>
  <r>
    <s v="vOcpjTFZ5Uk"/>
    <x v="452"/>
    <x v="439"/>
    <x v="3"/>
    <x v="292"/>
    <x v="27"/>
    <n v="52"/>
    <n v="740"/>
    <n v="4.1646000000000001"/>
    <x v="2"/>
    <n v="0.35099999999999998"/>
    <n v="4249"/>
    <n v="7.51"/>
  </r>
  <r>
    <s v="dLHoMM642r4"/>
    <x v="453"/>
    <x v="440"/>
    <x v="3"/>
    <x v="293"/>
    <x v="27"/>
    <n v="144"/>
    <n v="880"/>
    <n v="10.9918"/>
    <x v="4"/>
    <m/>
    <n v="12877"/>
    <n v="2.95"/>
  </r>
  <r>
    <s v="d-mx_R1AUSU"/>
    <x v="454"/>
    <x v="441"/>
    <x v="3"/>
    <x v="294"/>
    <x v="28"/>
    <n v="16"/>
    <n v="1151"/>
    <n v="3.6699000000000002"/>
    <x v="1"/>
    <n v="0.42"/>
    <n v="4796"/>
    <n v="8.61"/>
  </r>
  <r>
    <s v="WpsfnNjJ4So"/>
    <x v="455"/>
    <x v="442"/>
    <x v="3"/>
    <x v="295"/>
    <x v="28"/>
    <n v="16"/>
    <n v="3681"/>
    <n v="13.1234"/>
    <x v="4"/>
    <n v="1.4119999999999999"/>
    <n v="23499"/>
    <n v="4.0599999999999996"/>
  </r>
  <r>
    <s v="P8p0G2AtpNA"/>
    <x v="456"/>
    <x v="443"/>
    <x v="3"/>
    <x v="296"/>
    <x v="28"/>
    <n v="22"/>
    <n v="2030"/>
    <n v="6.1380999999999997"/>
    <x v="0"/>
    <n v="0.96399999999999997"/>
    <n v="12766"/>
    <n v="5.1100000000000003"/>
  </r>
  <r>
    <s v="cLn8TLa_i3o"/>
    <x v="457"/>
    <x v="444"/>
    <x v="3"/>
    <x v="297"/>
    <x v="29"/>
    <n v="606"/>
    <n v="868"/>
    <n v="41.5578"/>
    <x v="9"/>
    <n v="46.848999999999997"/>
    <n v="7869"/>
    <n v="8.16"/>
  </r>
  <r>
    <s v="pNEAdGqEAak"/>
    <x v="458"/>
    <x v="445"/>
    <x v="3"/>
    <x v="298"/>
    <x v="29"/>
    <n v="10"/>
    <n v="43867"/>
    <n v="79.601100000000002"/>
    <x v="36"/>
    <n v="14.798"/>
    <n v="250524"/>
    <n v="4.4000000000000004"/>
  </r>
  <r>
    <s v="wCnDJvQoeSY"/>
    <x v="459"/>
    <x v="446"/>
    <x v="3"/>
    <x v="299"/>
    <x v="29"/>
    <n v="37"/>
    <n v="981"/>
    <n v="5.6581000000000001"/>
    <x v="4"/>
    <n v="0.52100000000000002"/>
    <n v="5954"/>
    <n v="5.56"/>
  </r>
  <r>
    <s v="NOk8pQbPZYs"/>
    <x v="460"/>
    <x v="447"/>
    <x v="3"/>
    <x v="300"/>
    <x v="29"/>
    <n v="19"/>
    <n v="2197"/>
    <n v="6.7481"/>
    <x v="4"/>
    <n v="1.1599999999999999"/>
    <n v="18142"/>
    <n v="3.27"/>
  </r>
  <r>
    <s v="U9Bliv1-uo0"/>
    <x v="461"/>
    <x v="448"/>
    <x v="3"/>
    <x v="301"/>
    <x v="29"/>
    <n v="9"/>
    <n v="8136"/>
    <n v="13.889099999999999"/>
    <x v="9"/>
    <n v="3.0779999999999998"/>
    <n v="40076"/>
    <n v="4.4000000000000004"/>
  </r>
  <r>
    <s v="bo87kIA7oYk"/>
    <x v="462"/>
    <x v="449"/>
    <x v="3"/>
    <x v="302"/>
    <x v="29"/>
    <n v="8"/>
    <n v="1211"/>
    <n v="2.1244000000000001"/>
    <x v="0"/>
    <n v="0.35099999999999998"/>
    <n v="8258"/>
    <n v="2.2999999999999998"/>
  </r>
  <r>
    <s v="nf-dirzkTuc"/>
    <x v="463"/>
    <x v="450"/>
    <x v="3"/>
    <x v="303"/>
    <x v="29"/>
    <n v="16"/>
    <n v="3514"/>
    <n v="9.0896000000000008"/>
    <x v="3"/>
    <n v="1.653"/>
    <n v="24432"/>
    <n v="4.82"/>
  </r>
  <r>
    <s v="dEQe-BZtyIs"/>
    <x v="464"/>
    <x v="451"/>
    <x v="3"/>
    <x v="304"/>
    <x v="29"/>
    <n v="12"/>
    <n v="1265"/>
    <n v="2.4719000000000002"/>
    <x v="0"/>
    <n v="0.45300000000000001"/>
    <n v="9778"/>
    <n v="3.42"/>
  </r>
  <r>
    <s v="xSTHI58Rqck"/>
    <x v="465"/>
    <x v="452"/>
    <x v="3"/>
    <x v="305"/>
    <x v="29"/>
    <n v="11"/>
    <n v="900"/>
    <n v="1.7043999999999999"/>
    <x v="2"/>
    <n v="0.35"/>
    <n v="6180"/>
    <n v="4.29"/>
  </r>
  <r>
    <s v="Ub0qV7cvwC8"/>
    <x v="466"/>
    <x v="453"/>
    <x v="3"/>
    <x v="306"/>
    <x v="30"/>
    <n v="51"/>
    <n v="734"/>
    <n v="2.5167999999999999"/>
    <x v="1"/>
    <n v="0.218"/>
    <n v="691"/>
    <n v="4.49"/>
  </r>
  <r>
    <s v="0Vp7MerXA70"/>
    <x v="467"/>
    <x v="454"/>
    <x v="3"/>
    <x v="307"/>
    <x v="30"/>
    <n v="34"/>
    <n v="13039"/>
    <n v="55.5687"/>
    <x v="22"/>
    <n v="6.5910000000000002"/>
    <n v="79185"/>
    <n v="6.57"/>
  </r>
  <r>
    <s v="JNJ_NDRdS9M"/>
    <x v="468"/>
    <x v="455"/>
    <x v="3"/>
    <x v="308"/>
    <x v="31"/>
    <n v="99"/>
    <n v="1088"/>
    <n v="13.8508"/>
    <x v="1"/>
    <n v="96.513000000000005"/>
    <n v="10258"/>
    <n v="10.18"/>
  </r>
  <r>
    <s v="P8KBHjsfkKw"/>
    <x v="469"/>
    <x v="456"/>
    <x v="3"/>
    <x v="309"/>
    <x v="31"/>
    <n v="315"/>
    <n v="1323"/>
    <n v="40.184800000000003"/>
    <x v="6"/>
    <n v="207.864"/>
    <n v="8434"/>
    <n v="13.77"/>
  </r>
  <r>
    <s v="ZG66VIpi3Zk"/>
    <x v="470"/>
    <x v="457"/>
    <x v="3"/>
    <x v="310"/>
    <x v="32"/>
    <n v="95"/>
    <n v="1770"/>
    <n v="21.949000000000002"/>
    <x v="3"/>
    <n v="89.533000000000001"/>
    <n v="14513"/>
    <n v="11.35"/>
  </r>
  <r>
    <s v="ZOgmrgUYhXI"/>
    <x v="471"/>
    <x v="458"/>
    <x v="3"/>
    <x v="311"/>
    <x v="32"/>
    <n v="57"/>
    <n v="667"/>
    <n v="3.1985999999999999"/>
    <x v="2"/>
    <n v="0.252"/>
    <n v="3661"/>
    <n v="5.9"/>
  </r>
  <r>
    <s v="IPGx2gAw7j0"/>
    <x v="472"/>
    <x v="459"/>
    <x v="3"/>
    <x v="312"/>
    <x v="32"/>
    <n v="60"/>
    <n v="2620"/>
    <n v="26.933800000000002"/>
    <x v="13"/>
    <n v="160.386"/>
    <n v="35707"/>
    <n v="6.89"/>
  </r>
  <r>
    <s v="gWS3yaxnZkE"/>
    <x v="473"/>
    <x v="460"/>
    <x v="3"/>
    <x v="313"/>
    <x v="32"/>
    <n v="31"/>
    <n v="639"/>
    <n v="2.4318"/>
    <x v="2"/>
    <n v="0.27700000000000002"/>
    <n v="6704"/>
    <n v="3.09"/>
  </r>
  <r>
    <s v="R2Sw01sWn4M"/>
    <x v="474"/>
    <x v="461"/>
    <x v="3"/>
    <x v="314"/>
    <x v="33"/>
    <n v="31"/>
    <n v="1165"/>
    <n v="5.0568999999999997"/>
    <x v="3"/>
    <n v="0.55100000000000005"/>
    <n v="6840"/>
    <n v="5.45"/>
  </r>
  <r>
    <s v="TL5RUFlhBD8"/>
    <x v="475"/>
    <x v="462"/>
    <x v="3"/>
    <x v="315"/>
    <x v="33"/>
    <n v="18"/>
    <n v="888"/>
    <n v="1.7721"/>
    <x v="0"/>
    <n v="0.64"/>
    <n v="8150"/>
    <n v="2.66"/>
  </r>
  <r>
    <s v="4gISJJ_uFTI"/>
    <x v="476"/>
    <x v="463"/>
    <x v="3"/>
    <x v="316"/>
    <x v="33"/>
    <n v="54"/>
    <n v="2532"/>
    <n v="15.0091"/>
    <x v="2"/>
    <n v="1.468"/>
    <n v="13295"/>
    <n v="9.85"/>
  </r>
  <r>
    <s v="YCBpP2dhnwM"/>
    <x v="477"/>
    <x v="464"/>
    <x v="3"/>
    <x v="317"/>
    <x v="34"/>
    <n v="15"/>
    <n v="2136"/>
    <n v="4.3243999999999998"/>
    <x v="2"/>
    <n v="0.753"/>
    <n v="12759"/>
    <n v="4.62"/>
  </r>
  <r>
    <s v="rWpbg82qXfM"/>
    <x v="478"/>
    <x v="465"/>
    <x v="3"/>
    <x v="318"/>
    <x v="34"/>
    <n v="31"/>
    <n v="617"/>
    <n v="2.1107999999999998"/>
    <x v="0"/>
    <n v="0.24299999999999999"/>
    <n v="4088"/>
    <n v="3.74"/>
  </r>
  <r>
    <s v="Qv-M6YLN1K8"/>
    <x v="479"/>
    <x v="466"/>
    <x v="3"/>
    <x v="319"/>
    <x v="34"/>
    <n v="52"/>
    <n v="702"/>
    <n v="3.7212000000000001"/>
    <x v="2"/>
    <n v="0.41199999999999998"/>
    <n v="4202"/>
    <n v="6.71"/>
  </r>
  <r>
    <s v="a5OOC9Oecgg"/>
    <x v="480"/>
    <x v="467"/>
    <x v="3"/>
    <x v="320"/>
    <x v="35"/>
    <n v="975"/>
    <n v="758"/>
    <n v="42.856200000000001"/>
    <x v="3"/>
    <n v="60.856999999999999"/>
    <n v="6002"/>
    <n v="8.36"/>
  </r>
  <r>
    <s v="cDM9p2HGvyo"/>
    <x v="481"/>
    <x v="468"/>
    <x v="3"/>
    <x v="321"/>
    <x v="36"/>
    <n v="29"/>
    <n v="1826"/>
    <n v="8.4024000000000001"/>
    <x v="9"/>
    <n v="0.995"/>
    <n v="13997"/>
    <n v="5.49"/>
  </r>
  <r>
    <s v="t1Qv8kP2k6o"/>
    <x v="482"/>
    <x v="469"/>
    <x v="3"/>
    <x v="322"/>
    <x v="37"/>
    <n v="15"/>
    <n v="3428"/>
    <n v="7.0369999999999999"/>
    <x v="3"/>
    <n v="1.262"/>
    <n v="33328"/>
    <n v="2.96"/>
  </r>
  <r>
    <s v="ACaAfFT4bBM"/>
    <x v="483"/>
    <x v="470"/>
    <x v="3"/>
    <x v="323"/>
    <x v="37"/>
    <n v="1465"/>
    <n v="854"/>
    <n v="60.732799999999997"/>
    <x v="2"/>
    <n v="73.701999999999998"/>
    <n v="4732"/>
    <n v="6.61"/>
  </r>
  <r>
    <s v="dvtdLm702GI"/>
    <x v="484"/>
    <x v="471"/>
    <x v="3"/>
    <x v="324"/>
    <x v="38"/>
    <n v="29"/>
    <n v="1275"/>
    <n v="4.0660999999999996"/>
    <x v="0"/>
    <n v="0.41899999999999998"/>
    <n v="8508"/>
    <n v="3.6"/>
  </r>
  <r>
    <s v="1h1l7dds39Q"/>
    <x v="485"/>
    <x v="472"/>
    <x v="3"/>
    <x v="325"/>
    <x v="39"/>
    <n v="21"/>
    <n v="731"/>
    <n v="2.0901000000000001"/>
    <x v="0"/>
    <n v="0.33700000000000002"/>
    <n v="4191"/>
    <n v="6.7"/>
  </r>
  <r>
    <s v="PhU4RyxspUo"/>
    <x v="486"/>
    <x v="473"/>
    <x v="3"/>
    <x v="326"/>
    <x v="39"/>
    <n v="16"/>
    <n v="966"/>
    <n v="2.0501999999999998"/>
    <x v="2"/>
    <n v="0.32100000000000001"/>
    <n v="5213"/>
    <n v="5.66"/>
  </r>
  <r>
    <s v="qFHPnZZt6DQ"/>
    <x v="487"/>
    <x v="474"/>
    <x v="3"/>
    <x v="327"/>
    <x v="40"/>
    <n v="56"/>
    <n v="688"/>
    <n v="2.7538999999999998"/>
    <x v="2"/>
    <n v="0.248"/>
    <n v="6906"/>
    <n v="3.72"/>
  </r>
  <r>
    <s v="1oZ17l2aikg"/>
    <x v="488"/>
    <x v="475"/>
    <x v="3"/>
    <x v="328"/>
    <x v="41"/>
    <n v="18"/>
    <n v="715"/>
    <n v="1.3872"/>
    <x v="2"/>
    <n v="0.251"/>
    <n v="5863"/>
    <n v="3.39"/>
  </r>
  <r>
    <s v="eais50PxeJE"/>
    <x v="489"/>
    <x v="476"/>
    <x v="3"/>
    <x v="329"/>
    <x v="42"/>
    <n v="69"/>
    <n v="1719"/>
    <n v="18.4146"/>
    <x v="8"/>
    <n v="109.22199999999999"/>
    <n v="14176"/>
    <n v="11.3"/>
  </r>
  <r>
    <s v="ab-K5BhVOuk"/>
    <x v="490"/>
    <x v="477"/>
    <x v="3"/>
    <x v="330"/>
    <x v="43"/>
    <n v="283"/>
    <n v="1895"/>
    <n v="60.524000000000001"/>
    <x v="8"/>
    <n v="433.17399999999998"/>
    <n v="11051"/>
    <n v="13.67"/>
  </r>
  <r>
    <s v="CtjzzTYj3Rk"/>
    <x v="491"/>
    <x v="478"/>
    <x v="3"/>
    <x v="331"/>
    <x v="44"/>
    <n v="16"/>
    <n v="1764"/>
    <n v="5.2173999999999996"/>
    <x v="9"/>
    <n v="0.67500000000000004"/>
    <n v="12345"/>
    <n v="4.24"/>
  </r>
  <r>
    <s v="67exo3Ai420"/>
    <x v="492"/>
    <x v="479"/>
    <x v="3"/>
    <x v="332"/>
    <x v="45"/>
    <n v="365"/>
    <n v="3156"/>
    <n v="98.020099999999999"/>
    <x v="9"/>
    <n v="408.613"/>
    <n v="19236"/>
    <n v="12.99"/>
  </r>
  <r>
    <s v="Efcov3fqVNI"/>
    <x v="493"/>
    <x v="480"/>
    <x v="3"/>
    <x v="333"/>
    <x v="46"/>
    <n v="6"/>
    <n v="1249"/>
    <n v="1.4705999999999999"/>
    <x v="2"/>
    <n v="0.312"/>
    <n v="7658"/>
    <n v="3.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5">
  <location ref="A3:B8" firstHeaderRow="1" firstDataRow="1" firstDataCol="1"/>
  <pivotFields count="14">
    <pivotField showAll="0"/>
    <pivotField showAll="0">
      <items count="495">
        <item x="131"/>
        <item x="351"/>
        <item x="142"/>
        <item x="256"/>
        <item x="25"/>
        <item x="61"/>
        <item x="69"/>
        <item x="63"/>
        <item x="70"/>
        <item x="205"/>
        <item x="52"/>
        <item x="68"/>
        <item x="232"/>
        <item x="342"/>
        <item x="144"/>
        <item x="479"/>
        <item x="20"/>
        <item x="75"/>
        <item x="47"/>
        <item x="435"/>
        <item x="466"/>
        <item x="482"/>
        <item x="442"/>
        <item x="54"/>
        <item x="369"/>
        <item x="460"/>
        <item x="455"/>
        <item x="38"/>
        <item x="116"/>
        <item x="418"/>
        <item x="2"/>
        <item x="127"/>
        <item x="335"/>
        <item x="406"/>
        <item x="412"/>
        <item x="470"/>
        <item x="380"/>
        <item x="121"/>
        <item x="454"/>
        <item x="474"/>
        <item x="461"/>
        <item x="486"/>
        <item x="444"/>
        <item x="57"/>
        <item x="293"/>
        <item x="21"/>
        <item x="419"/>
        <item x="279"/>
        <item x="286"/>
        <item x="5"/>
        <item x="45"/>
        <item x="85"/>
        <item x="92"/>
        <item x="14"/>
        <item x="112"/>
        <item x="42"/>
        <item x="458"/>
        <item x="462"/>
        <item x="417"/>
        <item x="416"/>
        <item x="99"/>
        <item x="382"/>
        <item x="414"/>
        <item x="294"/>
        <item x="297"/>
        <item x="379"/>
        <item x="381"/>
        <item x="357"/>
        <item x="136"/>
        <item x="26"/>
        <item x="262"/>
        <item x="398"/>
        <item x="329"/>
        <item x="118"/>
        <item x="422"/>
        <item x="123"/>
        <item x="295"/>
        <item x="393"/>
        <item x="298"/>
        <item x="303"/>
        <item x="372"/>
        <item x="283"/>
        <item x="148"/>
        <item x="282"/>
        <item x="159"/>
        <item x="465"/>
        <item x="363"/>
        <item x="362"/>
        <item x="367"/>
        <item x="433"/>
        <item x="385"/>
        <item x="491"/>
        <item x="19"/>
        <item x="36"/>
        <item x="389"/>
        <item x="285"/>
        <item x="30"/>
        <item x="410"/>
        <item x="11"/>
        <item x="185"/>
        <item x="304"/>
        <item x="260"/>
        <item x="290"/>
        <item x="289"/>
        <item x="350"/>
        <item x="318"/>
        <item x="476"/>
        <item x="233"/>
        <item x="223"/>
        <item x="273"/>
        <item x="269"/>
        <item x="266"/>
        <item x="238"/>
        <item x="160"/>
        <item x="193"/>
        <item x="248"/>
        <item x="177"/>
        <item x="272"/>
        <item x="195"/>
        <item x="271"/>
        <item x="166"/>
        <item x="255"/>
        <item x="268"/>
        <item x="59"/>
        <item x="250"/>
        <item x="181"/>
        <item x="186"/>
        <item x="149"/>
        <item x="198"/>
        <item x="267"/>
        <item x="115"/>
        <item x="251"/>
        <item x="247"/>
        <item x="263"/>
        <item x="141"/>
        <item x="172"/>
        <item x="48"/>
        <item x="197"/>
        <item x="222"/>
        <item x="158"/>
        <item x="243"/>
        <item x="221"/>
        <item x="143"/>
        <item x="161"/>
        <item x="124"/>
        <item x="236"/>
        <item x="249"/>
        <item x="218"/>
        <item x="156"/>
        <item x="87"/>
        <item x="226"/>
        <item x="169"/>
        <item x="270"/>
        <item x="191"/>
        <item x="241"/>
        <item x="137"/>
        <item x="188"/>
        <item x="213"/>
        <item x="219"/>
        <item x="179"/>
        <item x="77"/>
        <item x="125"/>
        <item x="114"/>
        <item x="277"/>
        <item x="259"/>
        <item x="264"/>
        <item x="180"/>
        <item x="96"/>
        <item x="178"/>
        <item x="199"/>
        <item x="78"/>
        <item x="189"/>
        <item x="194"/>
        <item x="257"/>
        <item x="207"/>
        <item x="192"/>
        <item x="187"/>
        <item x="201"/>
        <item x="196"/>
        <item x="175"/>
        <item x="209"/>
        <item x="135"/>
        <item x="183"/>
        <item x="173"/>
        <item x="122"/>
        <item x="49"/>
        <item x="89"/>
        <item x="80"/>
        <item x="90"/>
        <item x="167"/>
        <item x="138"/>
        <item x="225"/>
        <item x="206"/>
        <item x="128"/>
        <item x="171"/>
        <item x="162"/>
        <item x="168"/>
        <item x="252"/>
        <item x="275"/>
        <item x="242"/>
        <item x="204"/>
        <item x="98"/>
        <item x="202"/>
        <item x="101"/>
        <item x="93"/>
        <item x="145"/>
        <item x="134"/>
        <item x="276"/>
        <item x="278"/>
        <item x="155"/>
        <item x="84"/>
        <item x="65"/>
        <item x="190"/>
        <item x="182"/>
        <item x="44"/>
        <item x="110"/>
        <item x="108"/>
        <item x="67"/>
        <item x="217"/>
        <item x="164"/>
        <item x="46"/>
        <item x="51"/>
        <item x="72"/>
        <item x="129"/>
        <item x="170"/>
        <item x="214"/>
        <item x="163"/>
        <item x="176"/>
        <item x="71"/>
        <item x="245"/>
        <item x="126"/>
        <item x="265"/>
        <item x="208"/>
        <item x="104"/>
        <item x="113"/>
        <item x="146"/>
        <item x="103"/>
        <item x="153"/>
        <item x="43"/>
        <item x="81"/>
        <item x="274"/>
        <item x="394"/>
        <item x="331"/>
        <item x="324"/>
        <item x="281"/>
        <item x="373"/>
        <item x="391"/>
        <item x="1"/>
        <item x="23"/>
        <item x="375"/>
        <item x="234"/>
        <item x="237"/>
        <item x="29"/>
        <item x="7"/>
        <item x="287"/>
        <item x="302"/>
        <item x="405"/>
        <item x="227"/>
        <item x="390"/>
        <item x="473"/>
        <item x="387"/>
        <item x="356"/>
        <item x="254"/>
        <item x="489"/>
        <item x="415"/>
        <item x="403"/>
        <item x="10"/>
        <item x="445"/>
        <item x="383"/>
        <item x="384"/>
        <item x="409"/>
        <item x="333"/>
        <item x="413"/>
        <item x="322"/>
        <item x="334"/>
        <item x="424"/>
        <item x="32"/>
        <item x="436"/>
        <item x="440"/>
        <item x="447"/>
        <item x="439"/>
        <item x="364"/>
        <item x="300"/>
        <item x="353"/>
        <item x="346"/>
        <item x="22"/>
        <item x="453"/>
        <item x="228"/>
        <item x="83"/>
        <item x="246"/>
        <item x="244"/>
        <item x="210"/>
        <item x="235"/>
        <item x="388"/>
        <item x="117"/>
        <item x="203"/>
        <item x="139"/>
        <item x="200"/>
        <item x="464"/>
        <item x="27"/>
        <item x="28"/>
        <item x="33"/>
        <item x="111"/>
        <item x="62"/>
        <item x="239"/>
        <item x="240"/>
        <item x="39"/>
        <item x="468"/>
        <item x="397"/>
        <item x="31"/>
        <item x="79"/>
        <item x="0"/>
        <item x="484"/>
        <item x="94"/>
        <item x="6"/>
        <item x="320"/>
        <item x="150"/>
        <item x="152"/>
        <item x="420"/>
        <item x="399"/>
        <item x="427"/>
        <item x="377"/>
        <item x="224"/>
        <item x="307"/>
        <item x="305"/>
        <item x="140"/>
        <item x="441"/>
        <item x="438"/>
        <item x="58"/>
        <item x="368"/>
        <item x="106"/>
        <item x="105"/>
        <item x="429"/>
        <item x="472"/>
        <item x="467"/>
        <item x="463"/>
        <item x="313"/>
        <item x="404"/>
        <item x="253"/>
        <item x="64"/>
        <item x="3"/>
        <item x="308"/>
        <item x="107"/>
        <item x="60"/>
        <item x="358"/>
        <item x="349"/>
        <item x="316"/>
        <item x="493"/>
        <item x="338"/>
        <item x="215"/>
        <item x="446"/>
        <item x="220"/>
        <item x="95"/>
        <item x="17"/>
        <item x="35"/>
        <item x="288"/>
        <item x="147"/>
        <item x="306"/>
        <item x="317"/>
        <item x="310"/>
        <item x="471"/>
        <item x="309"/>
        <item x="311"/>
        <item x="97"/>
        <item x="314"/>
        <item x="319"/>
        <item x="74"/>
        <item x="344"/>
        <item x="355"/>
        <item x="352"/>
        <item x="323"/>
        <item x="478"/>
        <item x="431"/>
        <item x="9"/>
        <item x="411"/>
        <item x="55"/>
        <item x="452"/>
        <item x="299"/>
        <item x="386"/>
        <item x="396"/>
        <item x="401"/>
        <item x="475"/>
        <item x="487"/>
        <item x="37"/>
        <item x="76"/>
        <item x="312"/>
        <item x="50"/>
        <item x="100"/>
        <item x="184"/>
        <item x="24"/>
        <item x="130"/>
        <item x="132"/>
        <item x="102"/>
        <item x="481"/>
        <item x="485"/>
        <item x="459"/>
        <item x="430"/>
        <item x="376"/>
        <item x="425"/>
        <item x="477"/>
        <item x="421"/>
        <item x="492"/>
        <item x="488"/>
        <item x="432"/>
        <item x="261"/>
        <item x="392"/>
        <item x="339"/>
        <item x="231"/>
        <item x="348"/>
        <item x="365"/>
        <item x="347"/>
        <item x="366"/>
        <item x="53"/>
        <item x="165"/>
        <item x="315"/>
        <item x="16"/>
        <item x="13"/>
        <item x="332"/>
        <item x="337"/>
        <item x="402"/>
        <item x="450"/>
        <item x="400"/>
        <item x="15"/>
        <item x="82"/>
        <item x="41"/>
        <item x="449"/>
        <item x="370"/>
        <item x="157"/>
        <item x="119"/>
        <item x="73"/>
        <item x="428"/>
        <item x="133"/>
        <item x="457"/>
        <item x="66"/>
        <item x="258"/>
        <item x="408"/>
        <item x="407"/>
        <item x="340"/>
        <item x="4"/>
        <item x="336"/>
        <item x="490"/>
        <item x="378"/>
        <item x="120"/>
        <item x="88"/>
        <item x="371"/>
        <item x="56"/>
        <item x="326"/>
        <item x="296"/>
        <item x="211"/>
        <item x="280"/>
        <item x="91"/>
        <item x="469"/>
        <item x="483"/>
        <item x="292"/>
        <item x="301"/>
        <item x="456"/>
        <item x="437"/>
        <item x="434"/>
        <item x="345"/>
        <item x="327"/>
        <item x="374"/>
        <item x="40"/>
        <item x="354"/>
        <item x="343"/>
        <item x="284"/>
        <item x="328"/>
        <item x="360"/>
        <item x="341"/>
        <item x="361"/>
        <item x="321"/>
        <item x="109"/>
        <item x="325"/>
        <item x="154"/>
        <item x="212"/>
        <item x="230"/>
        <item x="291"/>
        <item x="426"/>
        <item x="216"/>
        <item x="423"/>
        <item x="174"/>
        <item x="18"/>
        <item x="330"/>
        <item x="151"/>
        <item x="480"/>
        <item x="34"/>
        <item x="395"/>
        <item x="451"/>
        <item x="12"/>
        <item x="443"/>
        <item x="448"/>
        <item x="86"/>
        <item x="359"/>
        <item x="229"/>
        <item x="8"/>
        <item t="default"/>
      </items>
    </pivotField>
    <pivotField showAll="0" defaultSubtotal="0"/>
    <pivotField axis="axisRow" showAll="0">
      <items count="5">
        <item x="0"/>
        <item x="1"/>
        <item x="2"/>
        <item x="3"/>
        <item t="default"/>
      </items>
    </pivotField>
    <pivotField numFmtId="14" showAll="0">
      <items count="15">
        <item x="0"/>
        <item x="1"/>
        <item x="2"/>
        <item x="3"/>
        <item x="4"/>
        <item x="5"/>
        <item x="6"/>
        <item x="7"/>
        <item x="8"/>
        <item x="9"/>
        <item x="10"/>
        <item x="11"/>
        <item x="12"/>
        <item x="13"/>
        <item t="default"/>
      </items>
    </pivotField>
    <pivotField numFmtId="166" showAll="0" defaultSubtotal="0"/>
    <pivotField numFmtId="1" showAll="0"/>
    <pivotField numFmtId="1" showAll="0"/>
    <pivotField numFmtId="2" showAll="0"/>
    <pivotField numFmtId="1" showAll="0"/>
    <pivotField dataField="1" showAll="0"/>
    <pivotField numFmtId="1" showAll="0"/>
    <pivotField numFmtId="2" showAll="0"/>
    <pivotField showAll="0" defaultSubtotal="0">
      <items count="10">
        <item x="0"/>
        <item x="1"/>
        <item x="2"/>
        <item x="3"/>
        <item x="4"/>
        <item x="5"/>
        <item x="6"/>
        <item x="7"/>
        <item x="8"/>
        <item x="9"/>
      </items>
    </pivotField>
  </pivotFields>
  <rowFields count="1">
    <field x="3"/>
  </rowFields>
  <rowItems count="5">
    <i>
      <x/>
    </i>
    <i>
      <x v="1"/>
    </i>
    <i>
      <x v="2"/>
    </i>
    <i>
      <x v="3"/>
    </i>
    <i t="grand">
      <x/>
    </i>
  </rowItems>
  <colItems count="1">
    <i/>
  </colItems>
  <dataFields count="1">
    <dataField name="Sum of Estimated Revenue (INR)" fld="10" subtotal="count" baseField="2" baseItem="0"/>
  </dataFields>
  <chartFormats count="3">
    <chartFormat chart="32" format="4"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 chart="34" format="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6">
  <location ref="A3:B8" firstHeaderRow="1" firstDataRow="1" firstDataCol="1"/>
  <pivotFields count="14">
    <pivotField showAll="0"/>
    <pivotField showAll="0">
      <items count="495">
        <item x="131"/>
        <item x="351"/>
        <item x="142"/>
        <item x="256"/>
        <item x="25"/>
        <item x="61"/>
        <item x="69"/>
        <item x="63"/>
        <item x="70"/>
        <item x="205"/>
        <item x="52"/>
        <item x="68"/>
        <item x="232"/>
        <item x="342"/>
        <item x="144"/>
        <item x="479"/>
        <item x="20"/>
        <item x="75"/>
        <item x="47"/>
        <item x="435"/>
        <item x="466"/>
        <item x="482"/>
        <item x="442"/>
        <item x="54"/>
        <item x="369"/>
        <item x="460"/>
        <item x="455"/>
        <item x="38"/>
        <item x="116"/>
        <item x="418"/>
        <item x="2"/>
        <item x="127"/>
        <item x="335"/>
        <item x="406"/>
        <item x="412"/>
        <item x="470"/>
        <item x="380"/>
        <item x="121"/>
        <item x="454"/>
        <item x="474"/>
        <item x="461"/>
        <item x="486"/>
        <item x="444"/>
        <item x="57"/>
        <item x="293"/>
        <item x="21"/>
        <item x="419"/>
        <item x="279"/>
        <item x="286"/>
        <item x="5"/>
        <item x="45"/>
        <item x="85"/>
        <item x="92"/>
        <item x="14"/>
        <item x="112"/>
        <item x="42"/>
        <item x="458"/>
        <item x="462"/>
        <item x="417"/>
        <item x="416"/>
        <item x="99"/>
        <item x="382"/>
        <item x="414"/>
        <item x="294"/>
        <item x="297"/>
        <item x="379"/>
        <item x="381"/>
        <item x="357"/>
        <item x="136"/>
        <item x="26"/>
        <item x="262"/>
        <item x="398"/>
        <item x="329"/>
        <item x="118"/>
        <item x="422"/>
        <item x="123"/>
        <item x="295"/>
        <item x="393"/>
        <item x="298"/>
        <item x="303"/>
        <item x="372"/>
        <item x="283"/>
        <item x="148"/>
        <item x="282"/>
        <item x="159"/>
        <item x="465"/>
        <item x="363"/>
        <item x="362"/>
        <item x="367"/>
        <item x="433"/>
        <item x="385"/>
        <item x="491"/>
        <item x="19"/>
        <item x="36"/>
        <item x="389"/>
        <item x="285"/>
        <item x="30"/>
        <item x="410"/>
        <item x="11"/>
        <item x="185"/>
        <item x="304"/>
        <item x="260"/>
        <item x="290"/>
        <item x="289"/>
        <item x="350"/>
        <item x="318"/>
        <item x="476"/>
        <item x="233"/>
        <item x="223"/>
        <item x="273"/>
        <item x="269"/>
        <item x="266"/>
        <item x="238"/>
        <item x="160"/>
        <item x="193"/>
        <item x="248"/>
        <item x="177"/>
        <item x="272"/>
        <item x="195"/>
        <item x="271"/>
        <item x="166"/>
        <item x="255"/>
        <item x="268"/>
        <item x="59"/>
        <item x="250"/>
        <item x="181"/>
        <item x="186"/>
        <item x="149"/>
        <item x="198"/>
        <item x="267"/>
        <item x="115"/>
        <item x="251"/>
        <item x="247"/>
        <item x="263"/>
        <item x="141"/>
        <item x="172"/>
        <item x="48"/>
        <item x="197"/>
        <item x="222"/>
        <item x="158"/>
        <item x="243"/>
        <item x="221"/>
        <item x="143"/>
        <item x="161"/>
        <item x="124"/>
        <item x="236"/>
        <item x="249"/>
        <item x="218"/>
        <item x="156"/>
        <item x="87"/>
        <item x="226"/>
        <item x="169"/>
        <item x="270"/>
        <item x="191"/>
        <item x="241"/>
        <item x="137"/>
        <item x="188"/>
        <item x="213"/>
        <item x="219"/>
        <item x="179"/>
        <item x="77"/>
        <item x="125"/>
        <item x="114"/>
        <item x="277"/>
        <item x="259"/>
        <item x="264"/>
        <item x="180"/>
        <item x="96"/>
        <item x="178"/>
        <item x="199"/>
        <item x="78"/>
        <item x="189"/>
        <item x="194"/>
        <item x="257"/>
        <item x="207"/>
        <item x="192"/>
        <item x="187"/>
        <item x="201"/>
        <item x="196"/>
        <item x="175"/>
        <item x="209"/>
        <item x="135"/>
        <item x="183"/>
        <item x="173"/>
        <item x="122"/>
        <item x="49"/>
        <item x="89"/>
        <item x="80"/>
        <item x="90"/>
        <item x="167"/>
        <item x="138"/>
        <item x="225"/>
        <item x="206"/>
        <item x="128"/>
        <item x="171"/>
        <item x="162"/>
        <item x="168"/>
        <item x="252"/>
        <item x="275"/>
        <item x="242"/>
        <item x="204"/>
        <item x="98"/>
        <item x="202"/>
        <item x="101"/>
        <item x="93"/>
        <item x="145"/>
        <item x="134"/>
        <item x="276"/>
        <item x="278"/>
        <item x="155"/>
        <item x="84"/>
        <item x="65"/>
        <item x="190"/>
        <item x="182"/>
        <item x="44"/>
        <item x="110"/>
        <item x="108"/>
        <item x="67"/>
        <item x="217"/>
        <item x="164"/>
        <item x="46"/>
        <item x="51"/>
        <item x="72"/>
        <item x="129"/>
        <item x="170"/>
        <item x="214"/>
        <item x="163"/>
        <item x="176"/>
        <item x="71"/>
        <item x="245"/>
        <item x="126"/>
        <item x="265"/>
        <item x="208"/>
        <item x="104"/>
        <item x="113"/>
        <item x="146"/>
        <item x="103"/>
        <item x="153"/>
        <item x="43"/>
        <item x="81"/>
        <item x="274"/>
        <item x="394"/>
        <item x="331"/>
        <item x="324"/>
        <item x="281"/>
        <item x="373"/>
        <item x="391"/>
        <item x="1"/>
        <item x="23"/>
        <item x="375"/>
        <item x="234"/>
        <item x="237"/>
        <item x="29"/>
        <item x="7"/>
        <item x="287"/>
        <item x="302"/>
        <item x="405"/>
        <item x="227"/>
        <item x="390"/>
        <item x="473"/>
        <item x="387"/>
        <item x="356"/>
        <item x="254"/>
        <item x="489"/>
        <item x="415"/>
        <item x="403"/>
        <item x="10"/>
        <item x="445"/>
        <item x="383"/>
        <item x="384"/>
        <item x="409"/>
        <item x="333"/>
        <item x="413"/>
        <item x="322"/>
        <item x="334"/>
        <item x="424"/>
        <item x="32"/>
        <item x="436"/>
        <item x="440"/>
        <item x="447"/>
        <item x="439"/>
        <item x="364"/>
        <item x="300"/>
        <item x="353"/>
        <item x="346"/>
        <item x="22"/>
        <item x="453"/>
        <item x="228"/>
        <item x="83"/>
        <item x="246"/>
        <item x="244"/>
        <item x="210"/>
        <item x="235"/>
        <item x="388"/>
        <item x="117"/>
        <item x="203"/>
        <item x="139"/>
        <item x="200"/>
        <item x="464"/>
        <item x="27"/>
        <item x="28"/>
        <item x="33"/>
        <item x="111"/>
        <item x="62"/>
        <item x="239"/>
        <item x="240"/>
        <item x="39"/>
        <item x="468"/>
        <item x="397"/>
        <item x="31"/>
        <item x="79"/>
        <item x="0"/>
        <item x="484"/>
        <item x="94"/>
        <item x="6"/>
        <item x="320"/>
        <item x="150"/>
        <item x="152"/>
        <item x="420"/>
        <item x="399"/>
        <item x="427"/>
        <item x="377"/>
        <item x="224"/>
        <item x="307"/>
        <item x="305"/>
        <item x="140"/>
        <item x="441"/>
        <item x="438"/>
        <item x="58"/>
        <item x="368"/>
        <item x="106"/>
        <item x="105"/>
        <item x="429"/>
        <item x="472"/>
        <item x="467"/>
        <item x="463"/>
        <item x="313"/>
        <item x="404"/>
        <item x="253"/>
        <item x="64"/>
        <item x="3"/>
        <item x="308"/>
        <item x="107"/>
        <item x="60"/>
        <item x="358"/>
        <item x="349"/>
        <item x="316"/>
        <item x="493"/>
        <item x="338"/>
        <item x="215"/>
        <item x="446"/>
        <item x="220"/>
        <item x="95"/>
        <item x="17"/>
        <item x="35"/>
        <item x="288"/>
        <item x="147"/>
        <item x="306"/>
        <item x="317"/>
        <item x="310"/>
        <item x="471"/>
        <item x="309"/>
        <item x="311"/>
        <item x="97"/>
        <item x="314"/>
        <item x="319"/>
        <item x="74"/>
        <item x="344"/>
        <item x="355"/>
        <item x="352"/>
        <item x="323"/>
        <item x="478"/>
        <item x="431"/>
        <item x="9"/>
        <item x="411"/>
        <item x="55"/>
        <item x="452"/>
        <item x="299"/>
        <item x="386"/>
        <item x="396"/>
        <item x="401"/>
        <item x="475"/>
        <item x="487"/>
        <item x="37"/>
        <item x="76"/>
        <item x="312"/>
        <item x="50"/>
        <item x="100"/>
        <item x="184"/>
        <item x="24"/>
        <item x="130"/>
        <item x="132"/>
        <item x="102"/>
        <item x="481"/>
        <item x="485"/>
        <item x="459"/>
        <item x="430"/>
        <item x="376"/>
        <item x="425"/>
        <item x="477"/>
        <item x="421"/>
        <item x="492"/>
        <item x="488"/>
        <item x="432"/>
        <item x="261"/>
        <item x="392"/>
        <item x="339"/>
        <item x="231"/>
        <item x="348"/>
        <item x="365"/>
        <item x="347"/>
        <item x="366"/>
        <item x="53"/>
        <item x="165"/>
        <item x="315"/>
        <item x="16"/>
        <item x="13"/>
        <item x="332"/>
        <item x="337"/>
        <item x="402"/>
        <item x="450"/>
        <item x="400"/>
        <item x="15"/>
        <item x="82"/>
        <item x="41"/>
        <item x="449"/>
        <item x="370"/>
        <item x="157"/>
        <item x="119"/>
        <item x="73"/>
        <item x="428"/>
        <item x="133"/>
        <item x="457"/>
        <item x="66"/>
        <item x="258"/>
        <item x="408"/>
        <item x="407"/>
        <item x="340"/>
        <item x="4"/>
        <item x="336"/>
        <item x="490"/>
        <item x="378"/>
        <item x="120"/>
        <item x="88"/>
        <item x="371"/>
        <item x="56"/>
        <item x="326"/>
        <item x="296"/>
        <item x="211"/>
        <item x="280"/>
        <item x="91"/>
        <item x="469"/>
        <item x="483"/>
        <item x="292"/>
        <item x="301"/>
        <item x="456"/>
        <item x="437"/>
        <item x="434"/>
        <item x="345"/>
        <item x="327"/>
        <item x="374"/>
        <item x="40"/>
        <item x="354"/>
        <item x="343"/>
        <item x="284"/>
        <item x="328"/>
        <item x="360"/>
        <item x="341"/>
        <item x="361"/>
        <item x="321"/>
        <item x="109"/>
        <item x="325"/>
        <item x="154"/>
        <item x="212"/>
        <item x="230"/>
        <item x="291"/>
        <item x="426"/>
        <item x="216"/>
        <item x="423"/>
        <item x="174"/>
        <item x="18"/>
        <item x="330"/>
        <item x="151"/>
        <item x="480"/>
        <item x="34"/>
        <item x="395"/>
        <item x="451"/>
        <item x="12"/>
        <item x="443"/>
        <item x="448"/>
        <item x="86"/>
        <item x="359"/>
        <item x="229"/>
        <item x="8"/>
        <item t="default"/>
      </items>
    </pivotField>
    <pivotField showAll="0" defaultSubtotal="0"/>
    <pivotField axis="axisRow" showAll="0">
      <items count="5">
        <item x="0"/>
        <item x="1"/>
        <item x="2"/>
        <item x="3"/>
        <item t="default"/>
      </items>
    </pivotField>
    <pivotField numFmtId="14" showAll="0">
      <items count="15">
        <item x="0"/>
        <item x="1"/>
        <item x="2"/>
        <item x="3"/>
        <item x="4"/>
        <item x="5"/>
        <item x="6"/>
        <item x="7"/>
        <item x="8"/>
        <item x="9"/>
        <item x="10"/>
        <item x="11"/>
        <item x="12"/>
        <item x="13"/>
        <item t="default"/>
      </items>
    </pivotField>
    <pivotField numFmtId="166" showAll="0" defaultSubtotal="0"/>
    <pivotField numFmtId="1" showAll="0"/>
    <pivotField numFmtId="1" showAll="0"/>
    <pivotField dataField="1" numFmtId="2" showAll="0"/>
    <pivotField numFmtId="1" showAll="0"/>
    <pivotField showAll="0"/>
    <pivotField numFmtId="1" showAll="0"/>
    <pivotField numFmtId="2" showAll="0"/>
    <pivotField showAll="0" defaultSubtotal="0">
      <items count="10">
        <item x="0"/>
        <item x="1"/>
        <item x="2"/>
        <item x="3"/>
        <item x="4"/>
        <item x="5"/>
        <item x="6"/>
        <item x="7"/>
        <item x="8"/>
        <item x="9"/>
      </items>
    </pivotField>
  </pivotFields>
  <rowFields count="1">
    <field x="3"/>
  </rowFields>
  <rowItems count="5">
    <i>
      <x/>
    </i>
    <i>
      <x v="1"/>
    </i>
    <i>
      <x v="2"/>
    </i>
    <i>
      <x v="3"/>
    </i>
    <i t="grand">
      <x/>
    </i>
  </rowItems>
  <colItems count="1">
    <i/>
  </colItems>
  <dataFields count="1">
    <dataField name="Sum of Watch time (Hours)" fld="8" baseField="2" baseItem="0"/>
  </dataFields>
  <chartFormats count="3">
    <chartFormat chart="29"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1">
  <location ref="A3:B8" firstHeaderRow="1" firstDataRow="1" firstDataCol="1"/>
  <pivotFields count="14">
    <pivotField showAll="0"/>
    <pivotField showAll="0">
      <items count="495">
        <item x="131"/>
        <item x="351"/>
        <item x="142"/>
        <item x="256"/>
        <item x="25"/>
        <item x="61"/>
        <item x="69"/>
        <item x="63"/>
        <item x="70"/>
        <item x="205"/>
        <item x="52"/>
        <item x="68"/>
        <item x="232"/>
        <item x="342"/>
        <item x="144"/>
        <item x="479"/>
        <item x="20"/>
        <item x="75"/>
        <item x="47"/>
        <item x="435"/>
        <item x="466"/>
        <item x="482"/>
        <item x="442"/>
        <item x="54"/>
        <item x="369"/>
        <item x="460"/>
        <item x="455"/>
        <item x="38"/>
        <item x="116"/>
        <item x="418"/>
        <item x="2"/>
        <item x="127"/>
        <item x="335"/>
        <item x="406"/>
        <item x="412"/>
        <item x="470"/>
        <item x="380"/>
        <item x="121"/>
        <item x="454"/>
        <item x="474"/>
        <item x="461"/>
        <item x="486"/>
        <item x="444"/>
        <item x="57"/>
        <item x="293"/>
        <item x="21"/>
        <item x="419"/>
        <item x="279"/>
        <item x="286"/>
        <item x="5"/>
        <item x="45"/>
        <item x="85"/>
        <item x="92"/>
        <item x="14"/>
        <item x="112"/>
        <item x="42"/>
        <item x="458"/>
        <item x="462"/>
        <item x="417"/>
        <item x="416"/>
        <item x="99"/>
        <item x="382"/>
        <item x="414"/>
        <item x="294"/>
        <item x="297"/>
        <item x="379"/>
        <item x="381"/>
        <item x="357"/>
        <item x="136"/>
        <item x="26"/>
        <item x="262"/>
        <item x="398"/>
        <item x="329"/>
        <item x="118"/>
        <item x="422"/>
        <item x="123"/>
        <item x="295"/>
        <item x="393"/>
        <item x="298"/>
        <item x="303"/>
        <item x="372"/>
        <item x="283"/>
        <item x="148"/>
        <item x="282"/>
        <item x="159"/>
        <item x="465"/>
        <item x="363"/>
        <item x="362"/>
        <item x="367"/>
        <item x="433"/>
        <item x="385"/>
        <item x="491"/>
        <item x="19"/>
        <item x="36"/>
        <item x="389"/>
        <item x="285"/>
        <item x="30"/>
        <item x="410"/>
        <item x="11"/>
        <item x="185"/>
        <item x="304"/>
        <item x="260"/>
        <item x="290"/>
        <item x="289"/>
        <item x="350"/>
        <item x="318"/>
        <item x="476"/>
        <item x="233"/>
        <item x="223"/>
        <item x="273"/>
        <item x="269"/>
        <item x="266"/>
        <item x="238"/>
        <item x="160"/>
        <item x="193"/>
        <item x="248"/>
        <item x="177"/>
        <item x="272"/>
        <item x="195"/>
        <item x="271"/>
        <item x="166"/>
        <item x="255"/>
        <item x="268"/>
        <item x="59"/>
        <item x="250"/>
        <item x="181"/>
        <item x="186"/>
        <item x="149"/>
        <item x="198"/>
        <item x="267"/>
        <item x="115"/>
        <item x="251"/>
        <item x="247"/>
        <item x="263"/>
        <item x="141"/>
        <item x="172"/>
        <item x="48"/>
        <item x="197"/>
        <item x="222"/>
        <item x="158"/>
        <item x="243"/>
        <item x="221"/>
        <item x="143"/>
        <item x="161"/>
        <item x="124"/>
        <item x="236"/>
        <item x="249"/>
        <item x="218"/>
        <item x="156"/>
        <item x="87"/>
        <item x="226"/>
        <item x="169"/>
        <item x="270"/>
        <item x="191"/>
        <item x="241"/>
        <item x="137"/>
        <item x="188"/>
        <item x="213"/>
        <item x="219"/>
        <item x="179"/>
        <item x="77"/>
        <item x="125"/>
        <item x="114"/>
        <item x="277"/>
        <item x="259"/>
        <item x="264"/>
        <item x="180"/>
        <item x="96"/>
        <item x="178"/>
        <item x="199"/>
        <item x="78"/>
        <item x="189"/>
        <item x="194"/>
        <item x="257"/>
        <item x="207"/>
        <item x="192"/>
        <item x="187"/>
        <item x="201"/>
        <item x="196"/>
        <item x="175"/>
        <item x="209"/>
        <item x="135"/>
        <item x="183"/>
        <item x="173"/>
        <item x="122"/>
        <item x="49"/>
        <item x="89"/>
        <item x="80"/>
        <item x="90"/>
        <item x="167"/>
        <item x="138"/>
        <item x="225"/>
        <item x="206"/>
        <item x="128"/>
        <item x="171"/>
        <item x="162"/>
        <item x="168"/>
        <item x="252"/>
        <item x="275"/>
        <item x="242"/>
        <item x="204"/>
        <item x="98"/>
        <item x="202"/>
        <item x="101"/>
        <item x="93"/>
        <item x="145"/>
        <item x="134"/>
        <item x="276"/>
        <item x="278"/>
        <item x="155"/>
        <item x="84"/>
        <item x="65"/>
        <item x="190"/>
        <item x="182"/>
        <item x="44"/>
        <item x="110"/>
        <item x="108"/>
        <item x="67"/>
        <item x="217"/>
        <item x="164"/>
        <item x="46"/>
        <item x="51"/>
        <item x="72"/>
        <item x="129"/>
        <item x="170"/>
        <item x="214"/>
        <item x="163"/>
        <item x="176"/>
        <item x="71"/>
        <item x="245"/>
        <item x="126"/>
        <item x="265"/>
        <item x="208"/>
        <item x="104"/>
        <item x="113"/>
        <item x="146"/>
        <item x="103"/>
        <item x="153"/>
        <item x="43"/>
        <item x="81"/>
        <item x="274"/>
        <item x="394"/>
        <item x="331"/>
        <item x="324"/>
        <item x="281"/>
        <item x="373"/>
        <item x="391"/>
        <item x="1"/>
        <item x="23"/>
        <item x="375"/>
        <item x="234"/>
        <item x="237"/>
        <item x="29"/>
        <item x="7"/>
        <item x="287"/>
        <item x="302"/>
        <item x="405"/>
        <item x="227"/>
        <item x="390"/>
        <item x="473"/>
        <item x="387"/>
        <item x="356"/>
        <item x="254"/>
        <item x="489"/>
        <item x="415"/>
        <item x="403"/>
        <item x="10"/>
        <item x="445"/>
        <item x="383"/>
        <item x="384"/>
        <item x="409"/>
        <item x="333"/>
        <item x="413"/>
        <item x="322"/>
        <item x="334"/>
        <item x="424"/>
        <item x="32"/>
        <item x="436"/>
        <item x="440"/>
        <item x="447"/>
        <item x="439"/>
        <item x="364"/>
        <item x="300"/>
        <item x="353"/>
        <item x="346"/>
        <item x="22"/>
        <item x="453"/>
        <item x="228"/>
        <item x="83"/>
        <item x="246"/>
        <item x="244"/>
        <item x="210"/>
        <item x="235"/>
        <item x="388"/>
        <item x="117"/>
        <item x="203"/>
        <item x="139"/>
        <item x="200"/>
        <item x="464"/>
        <item x="27"/>
        <item x="28"/>
        <item x="33"/>
        <item x="111"/>
        <item x="62"/>
        <item x="239"/>
        <item x="240"/>
        <item x="39"/>
        <item x="468"/>
        <item x="397"/>
        <item x="31"/>
        <item x="79"/>
        <item x="0"/>
        <item x="484"/>
        <item x="94"/>
        <item x="6"/>
        <item x="320"/>
        <item x="150"/>
        <item x="152"/>
        <item x="420"/>
        <item x="399"/>
        <item x="427"/>
        <item x="377"/>
        <item x="224"/>
        <item x="307"/>
        <item x="305"/>
        <item x="140"/>
        <item x="441"/>
        <item x="438"/>
        <item x="58"/>
        <item x="368"/>
        <item x="106"/>
        <item x="105"/>
        <item x="429"/>
        <item x="472"/>
        <item x="467"/>
        <item x="463"/>
        <item x="313"/>
        <item x="404"/>
        <item x="253"/>
        <item x="64"/>
        <item x="3"/>
        <item x="308"/>
        <item x="107"/>
        <item x="60"/>
        <item x="358"/>
        <item x="349"/>
        <item x="316"/>
        <item x="493"/>
        <item x="338"/>
        <item x="215"/>
        <item x="446"/>
        <item x="220"/>
        <item x="95"/>
        <item x="17"/>
        <item x="35"/>
        <item x="288"/>
        <item x="147"/>
        <item x="306"/>
        <item x="317"/>
        <item x="310"/>
        <item x="471"/>
        <item x="309"/>
        <item x="311"/>
        <item x="97"/>
        <item x="314"/>
        <item x="319"/>
        <item x="74"/>
        <item x="344"/>
        <item x="355"/>
        <item x="352"/>
        <item x="323"/>
        <item x="478"/>
        <item x="431"/>
        <item x="9"/>
        <item x="411"/>
        <item x="55"/>
        <item x="452"/>
        <item x="299"/>
        <item x="386"/>
        <item x="396"/>
        <item x="401"/>
        <item x="475"/>
        <item x="487"/>
        <item x="37"/>
        <item x="76"/>
        <item x="312"/>
        <item x="50"/>
        <item x="100"/>
        <item x="184"/>
        <item x="24"/>
        <item x="130"/>
        <item x="132"/>
        <item x="102"/>
        <item x="481"/>
        <item x="485"/>
        <item x="459"/>
        <item x="430"/>
        <item x="376"/>
        <item x="425"/>
        <item x="477"/>
        <item x="421"/>
        <item x="492"/>
        <item x="488"/>
        <item x="432"/>
        <item x="261"/>
        <item x="392"/>
        <item x="339"/>
        <item x="231"/>
        <item x="348"/>
        <item x="365"/>
        <item x="347"/>
        <item x="366"/>
        <item x="53"/>
        <item x="165"/>
        <item x="315"/>
        <item x="16"/>
        <item x="13"/>
        <item x="332"/>
        <item x="337"/>
        <item x="402"/>
        <item x="450"/>
        <item x="400"/>
        <item x="15"/>
        <item x="82"/>
        <item x="41"/>
        <item x="449"/>
        <item x="370"/>
        <item x="157"/>
        <item x="119"/>
        <item x="73"/>
        <item x="428"/>
        <item x="133"/>
        <item x="457"/>
        <item x="66"/>
        <item x="258"/>
        <item x="408"/>
        <item x="407"/>
        <item x="340"/>
        <item x="4"/>
        <item x="336"/>
        <item x="490"/>
        <item x="378"/>
        <item x="120"/>
        <item x="88"/>
        <item x="371"/>
        <item x="56"/>
        <item x="326"/>
        <item x="296"/>
        <item x="211"/>
        <item x="280"/>
        <item x="91"/>
        <item x="469"/>
        <item x="483"/>
        <item x="292"/>
        <item x="301"/>
        <item x="456"/>
        <item x="437"/>
        <item x="434"/>
        <item x="345"/>
        <item x="327"/>
        <item x="374"/>
        <item x="40"/>
        <item x="354"/>
        <item x="343"/>
        <item x="284"/>
        <item x="328"/>
        <item x="360"/>
        <item x="341"/>
        <item x="361"/>
        <item x="321"/>
        <item x="109"/>
        <item x="325"/>
        <item x="154"/>
        <item x="212"/>
        <item x="230"/>
        <item x="291"/>
        <item x="426"/>
        <item x="216"/>
        <item x="423"/>
        <item x="174"/>
        <item x="18"/>
        <item x="330"/>
        <item x="151"/>
        <item x="480"/>
        <item x="34"/>
        <item x="395"/>
        <item x="451"/>
        <item x="12"/>
        <item x="443"/>
        <item x="448"/>
        <item x="86"/>
        <item x="359"/>
        <item x="229"/>
        <item x="8"/>
        <item t="default"/>
      </items>
    </pivotField>
    <pivotField showAll="0" defaultSubtotal="0"/>
    <pivotField axis="axisRow" showAll="0">
      <items count="5">
        <item x="0"/>
        <item x="1"/>
        <item x="2"/>
        <item x="3"/>
        <item t="default"/>
      </items>
    </pivotField>
    <pivotField numFmtId="14" showAll="0">
      <items count="15">
        <item x="0"/>
        <item x="1"/>
        <item x="2"/>
        <item x="3"/>
        <item x="4"/>
        <item x="5"/>
        <item x="6"/>
        <item x="7"/>
        <item x="8"/>
        <item x="9"/>
        <item x="10"/>
        <item x="11"/>
        <item x="12"/>
        <item x="13"/>
        <item t="default"/>
      </items>
    </pivotField>
    <pivotField numFmtId="166" showAll="0" defaultSubtotal="0"/>
    <pivotField numFmtId="1" showAll="0"/>
    <pivotField dataField="1" numFmtId="1" showAll="0"/>
    <pivotField numFmtId="2" showAll="0"/>
    <pivotField numFmtId="1" showAll="0"/>
    <pivotField showAll="0"/>
    <pivotField numFmtId="1" showAll="0"/>
    <pivotField numFmtId="2" showAll="0"/>
    <pivotField showAll="0" defaultSubtotal="0">
      <items count="10">
        <item x="0"/>
        <item x="1"/>
        <item x="2"/>
        <item x="3"/>
        <item x="4"/>
        <item x="5"/>
        <item x="6"/>
        <item x="7"/>
        <item x="8"/>
        <item x="9"/>
      </items>
    </pivotField>
  </pivotFields>
  <rowFields count="1">
    <field x="3"/>
  </rowFields>
  <rowItems count="5">
    <i>
      <x/>
    </i>
    <i>
      <x v="1"/>
    </i>
    <i>
      <x v="2"/>
    </i>
    <i>
      <x v="3"/>
    </i>
    <i t="grand">
      <x/>
    </i>
  </rowItems>
  <colItems count="1">
    <i/>
  </colItems>
  <dataFields count="1">
    <dataField name="Sum of Views" fld="7" baseField="0" baseItem="0"/>
  </dataFields>
  <chartFormats count="3">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3:B8" firstHeaderRow="1" firstDataRow="1" firstDataCol="1"/>
  <pivotFields count="14">
    <pivotField showAll="0"/>
    <pivotField showAll="0">
      <items count="495">
        <item x="131"/>
        <item x="351"/>
        <item x="142"/>
        <item x="256"/>
        <item x="25"/>
        <item x="61"/>
        <item x="69"/>
        <item x="63"/>
        <item x="70"/>
        <item x="205"/>
        <item x="52"/>
        <item x="68"/>
        <item x="232"/>
        <item x="342"/>
        <item x="144"/>
        <item x="479"/>
        <item x="20"/>
        <item x="75"/>
        <item x="47"/>
        <item x="435"/>
        <item x="466"/>
        <item x="482"/>
        <item x="442"/>
        <item x="54"/>
        <item x="369"/>
        <item x="460"/>
        <item x="455"/>
        <item x="38"/>
        <item x="116"/>
        <item x="418"/>
        <item x="2"/>
        <item x="127"/>
        <item x="335"/>
        <item x="406"/>
        <item x="412"/>
        <item x="470"/>
        <item x="380"/>
        <item x="121"/>
        <item x="454"/>
        <item x="474"/>
        <item x="461"/>
        <item x="486"/>
        <item x="444"/>
        <item x="57"/>
        <item x="293"/>
        <item x="21"/>
        <item x="419"/>
        <item x="279"/>
        <item x="286"/>
        <item x="5"/>
        <item x="45"/>
        <item x="85"/>
        <item x="92"/>
        <item x="14"/>
        <item x="112"/>
        <item x="42"/>
        <item x="458"/>
        <item x="462"/>
        <item x="417"/>
        <item x="416"/>
        <item x="99"/>
        <item x="382"/>
        <item x="414"/>
        <item x="294"/>
        <item x="297"/>
        <item x="379"/>
        <item x="381"/>
        <item x="357"/>
        <item x="136"/>
        <item x="26"/>
        <item x="262"/>
        <item x="398"/>
        <item x="329"/>
        <item x="118"/>
        <item x="422"/>
        <item x="123"/>
        <item x="295"/>
        <item x="393"/>
        <item x="298"/>
        <item x="303"/>
        <item x="372"/>
        <item x="283"/>
        <item x="148"/>
        <item x="282"/>
        <item x="159"/>
        <item x="465"/>
        <item x="363"/>
        <item x="362"/>
        <item x="367"/>
        <item x="433"/>
        <item x="385"/>
        <item x="491"/>
        <item x="19"/>
        <item x="36"/>
        <item x="389"/>
        <item x="285"/>
        <item x="30"/>
        <item x="410"/>
        <item x="11"/>
        <item x="185"/>
        <item x="304"/>
        <item x="260"/>
        <item x="290"/>
        <item x="289"/>
        <item x="350"/>
        <item x="318"/>
        <item x="476"/>
        <item x="233"/>
        <item x="223"/>
        <item x="273"/>
        <item x="269"/>
        <item x="266"/>
        <item x="238"/>
        <item x="160"/>
        <item x="193"/>
        <item x="248"/>
        <item x="177"/>
        <item x="272"/>
        <item x="195"/>
        <item x="271"/>
        <item x="166"/>
        <item x="255"/>
        <item x="268"/>
        <item x="59"/>
        <item x="250"/>
        <item x="181"/>
        <item x="186"/>
        <item x="149"/>
        <item x="198"/>
        <item x="267"/>
        <item x="115"/>
        <item x="251"/>
        <item x="247"/>
        <item x="263"/>
        <item x="141"/>
        <item x="172"/>
        <item x="48"/>
        <item x="197"/>
        <item x="222"/>
        <item x="158"/>
        <item x="243"/>
        <item x="221"/>
        <item x="143"/>
        <item x="161"/>
        <item x="124"/>
        <item x="236"/>
        <item x="249"/>
        <item x="218"/>
        <item x="156"/>
        <item x="87"/>
        <item x="226"/>
        <item x="169"/>
        <item x="270"/>
        <item x="191"/>
        <item x="241"/>
        <item x="137"/>
        <item x="188"/>
        <item x="213"/>
        <item x="219"/>
        <item x="179"/>
        <item x="77"/>
        <item x="125"/>
        <item x="114"/>
        <item x="277"/>
        <item x="259"/>
        <item x="264"/>
        <item x="180"/>
        <item x="96"/>
        <item x="178"/>
        <item x="199"/>
        <item x="78"/>
        <item x="189"/>
        <item x="194"/>
        <item x="257"/>
        <item x="207"/>
        <item x="192"/>
        <item x="187"/>
        <item x="201"/>
        <item x="196"/>
        <item x="175"/>
        <item x="209"/>
        <item x="135"/>
        <item x="183"/>
        <item x="173"/>
        <item x="122"/>
        <item x="49"/>
        <item x="89"/>
        <item x="80"/>
        <item x="90"/>
        <item x="167"/>
        <item x="138"/>
        <item x="225"/>
        <item x="206"/>
        <item x="128"/>
        <item x="171"/>
        <item x="162"/>
        <item x="168"/>
        <item x="252"/>
        <item x="275"/>
        <item x="242"/>
        <item x="204"/>
        <item x="98"/>
        <item x="202"/>
        <item x="101"/>
        <item x="93"/>
        <item x="145"/>
        <item x="134"/>
        <item x="276"/>
        <item x="278"/>
        <item x="155"/>
        <item x="84"/>
        <item x="65"/>
        <item x="190"/>
        <item x="182"/>
        <item x="44"/>
        <item x="110"/>
        <item x="108"/>
        <item x="67"/>
        <item x="217"/>
        <item x="164"/>
        <item x="46"/>
        <item x="51"/>
        <item x="72"/>
        <item x="129"/>
        <item x="170"/>
        <item x="214"/>
        <item x="163"/>
        <item x="176"/>
        <item x="71"/>
        <item x="245"/>
        <item x="126"/>
        <item x="265"/>
        <item x="208"/>
        <item x="104"/>
        <item x="113"/>
        <item x="146"/>
        <item x="103"/>
        <item x="153"/>
        <item x="43"/>
        <item x="81"/>
        <item x="274"/>
        <item x="394"/>
        <item x="331"/>
        <item x="324"/>
        <item x="281"/>
        <item x="373"/>
        <item x="391"/>
        <item x="1"/>
        <item x="23"/>
        <item x="375"/>
        <item x="234"/>
        <item x="237"/>
        <item x="29"/>
        <item x="7"/>
        <item x="287"/>
        <item x="302"/>
        <item x="405"/>
        <item x="227"/>
        <item x="390"/>
        <item x="473"/>
        <item x="387"/>
        <item x="356"/>
        <item x="254"/>
        <item x="489"/>
        <item x="415"/>
        <item x="403"/>
        <item x="10"/>
        <item x="445"/>
        <item x="383"/>
        <item x="384"/>
        <item x="409"/>
        <item x="333"/>
        <item x="413"/>
        <item x="322"/>
        <item x="334"/>
        <item x="424"/>
        <item x="32"/>
        <item x="436"/>
        <item x="440"/>
        <item x="447"/>
        <item x="439"/>
        <item x="364"/>
        <item x="300"/>
        <item x="353"/>
        <item x="346"/>
        <item x="22"/>
        <item x="453"/>
        <item x="228"/>
        <item x="83"/>
        <item x="246"/>
        <item x="244"/>
        <item x="210"/>
        <item x="235"/>
        <item x="388"/>
        <item x="117"/>
        <item x="203"/>
        <item x="139"/>
        <item x="200"/>
        <item x="464"/>
        <item x="27"/>
        <item x="28"/>
        <item x="33"/>
        <item x="111"/>
        <item x="62"/>
        <item x="239"/>
        <item x="240"/>
        <item x="39"/>
        <item x="468"/>
        <item x="397"/>
        <item x="31"/>
        <item x="79"/>
        <item x="0"/>
        <item x="484"/>
        <item x="94"/>
        <item x="6"/>
        <item x="320"/>
        <item x="150"/>
        <item x="152"/>
        <item x="420"/>
        <item x="399"/>
        <item x="427"/>
        <item x="377"/>
        <item x="224"/>
        <item x="307"/>
        <item x="305"/>
        <item x="140"/>
        <item x="441"/>
        <item x="438"/>
        <item x="58"/>
        <item x="368"/>
        <item x="106"/>
        <item x="105"/>
        <item x="429"/>
        <item x="472"/>
        <item x="467"/>
        <item x="463"/>
        <item x="313"/>
        <item x="404"/>
        <item x="253"/>
        <item x="64"/>
        <item x="3"/>
        <item x="308"/>
        <item x="107"/>
        <item x="60"/>
        <item x="358"/>
        <item x="349"/>
        <item x="316"/>
        <item x="493"/>
        <item x="338"/>
        <item x="215"/>
        <item x="446"/>
        <item x="220"/>
        <item x="95"/>
        <item x="17"/>
        <item x="35"/>
        <item x="288"/>
        <item x="147"/>
        <item x="306"/>
        <item x="317"/>
        <item x="310"/>
        <item x="471"/>
        <item x="309"/>
        <item x="311"/>
        <item x="97"/>
        <item x="314"/>
        <item x="319"/>
        <item x="74"/>
        <item x="344"/>
        <item x="355"/>
        <item x="352"/>
        <item x="323"/>
        <item x="478"/>
        <item x="431"/>
        <item x="9"/>
        <item x="411"/>
        <item x="55"/>
        <item x="452"/>
        <item x="299"/>
        <item x="386"/>
        <item x="396"/>
        <item x="401"/>
        <item x="475"/>
        <item x="487"/>
        <item x="37"/>
        <item x="76"/>
        <item x="312"/>
        <item x="50"/>
        <item x="100"/>
        <item x="184"/>
        <item x="24"/>
        <item x="130"/>
        <item x="132"/>
        <item x="102"/>
        <item x="481"/>
        <item x="485"/>
        <item x="459"/>
        <item x="430"/>
        <item x="376"/>
        <item x="425"/>
        <item x="477"/>
        <item x="421"/>
        <item x="492"/>
        <item x="488"/>
        <item x="432"/>
        <item x="261"/>
        <item x="392"/>
        <item x="339"/>
        <item x="231"/>
        <item x="348"/>
        <item x="365"/>
        <item x="347"/>
        <item x="366"/>
        <item x="53"/>
        <item x="165"/>
        <item x="315"/>
        <item x="16"/>
        <item x="13"/>
        <item x="332"/>
        <item x="337"/>
        <item x="402"/>
        <item x="450"/>
        <item x="400"/>
        <item x="15"/>
        <item x="82"/>
        <item x="41"/>
        <item x="449"/>
        <item x="370"/>
        <item x="157"/>
        <item x="119"/>
        <item x="73"/>
        <item x="428"/>
        <item x="133"/>
        <item x="457"/>
        <item x="66"/>
        <item x="258"/>
        <item x="408"/>
        <item x="407"/>
        <item x="340"/>
        <item x="4"/>
        <item x="336"/>
        <item x="490"/>
        <item x="378"/>
        <item x="120"/>
        <item x="88"/>
        <item x="371"/>
        <item x="56"/>
        <item x="326"/>
        <item x="296"/>
        <item x="211"/>
        <item x="280"/>
        <item x="91"/>
        <item x="469"/>
        <item x="483"/>
        <item x="292"/>
        <item x="301"/>
        <item x="456"/>
        <item x="437"/>
        <item x="434"/>
        <item x="345"/>
        <item x="327"/>
        <item x="374"/>
        <item x="40"/>
        <item x="354"/>
        <item x="343"/>
        <item x="284"/>
        <item x="328"/>
        <item x="360"/>
        <item x="341"/>
        <item x="361"/>
        <item x="321"/>
        <item x="109"/>
        <item x="325"/>
        <item x="154"/>
        <item x="212"/>
        <item x="230"/>
        <item x="291"/>
        <item x="426"/>
        <item x="216"/>
        <item x="423"/>
        <item x="174"/>
        <item x="18"/>
        <item x="330"/>
        <item x="151"/>
        <item x="480"/>
        <item x="34"/>
        <item x="395"/>
        <item x="451"/>
        <item x="12"/>
        <item x="443"/>
        <item x="448"/>
        <item x="86"/>
        <item x="359"/>
        <item x="229"/>
        <item x="8"/>
        <item t="default"/>
      </items>
    </pivotField>
    <pivotField showAll="0" defaultSubtotal="0"/>
    <pivotField axis="axisRow" showAll="0">
      <items count="5">
        <item x="0"/>
        <item x="2"/>
        <item x="1"/>
        <item x="3"/>
        <item t="default"/>
      </items>
    </pivotField>
    <pivotField numFmtId="14" showAll="0">
      <items count="15">
        <item x="0"/>
        <item x="1"/>
        <item x="2"/>
        <item x="3"/>
        <item x="4"/>
        <item x="5"/>
        <item x="6"/>
        <item x="7"/>
        <item x="8"/>
        <item x="9"/>
        <item x="10"/>
        <item x="11"/>
        <item x="12"/>
        <item x="13"/>
        <item t="default"/>
      </items>
    </pivotField>
    <pivotField numFmtId="166" showAll="0" defaultSubtotal="0"/>
    <pivotField numFmtId="1" showAll="0"/>
    <pivotField numFmtId="1" showAll="0"/>
    <pivotField numFmtId="2" showAll="0"/>
    <pivotField dataField="1" numFmtId="1" showAll="0"/>
    <pivotField showAll="0"/>
    <pivotField numFmtId="1" showAll="0"/>
    <pivotField numFmtId="2" showAll="0"/>
    <pivotField showAll="0" defaultSubtotal="0">
      <items count="10">
        <item x="0"/>
        <item x="1"/>
        <item x="2"/>
        <item x="3"/>
        <item x="4"/>
        <item x="5"/>
        <item x="6"/>
        <item x="7"/>
        <item x="8"/>
        <item x="9"/>
      </items>
    </pivotField>
  </pivotFields>
  <rowFields count="1">
    <field x="3"/>
  </rowFields>
  <rowItems count="5">
    <i>
      <x/>
    </i>
    <i>
      <x v="1"/>
    </i>
    <i>
      <x v="2"/>
    </i>
    <i>
      <x v="3"/>
    </i>
    <i t="grand">
      <x/>
    </i>
  </rowItems>
  <colItems count="1">
    <i/>
  </colItems>
  <dataFields count="1">
    <dataField name="Sum of Subscriber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51" firstHeaderRow="1" firstDataRow="1" firstDataCol="1"/>
  <pivotFields count="14">
    <pivotField showAll="0"/>
    <pivotField showAll="0">
      <items count="495">
        <item x="131"/>
        <item x="351"/>
        <item x="142"/>
        <item x="256"/>
        <item x="25"/>
        <item x="61"/>
        <item x="69"/>
        <item x="63"/>
        <item x="70"/>
        <item x="205"/>
        <item x="52"/>
        <item x="68"/>
        <item x="232"/>
        <item x="342"/>
        <item x="144"/>
        <item x="479"/>
        <item x="20"/>
        <item x="75"/>
        <item x="47"/>
        <item x="435"/>
        <item x="466"/>
        <item x="482"/>
        <item x="442"/>
        <item x="54"/>
        <item x="369"/>
        <item x="460"/>
        <item x="455"/>
        <item x="38"/>
        <item x="116"/>
        <item x="418"/>
        <item x="2"/>
        <item x="127"/>
        <item x="335"/>
        <item x="406"/>
        <item x="412"/>
        <item x="470"/>
        <item x="380"/>
        <item x="121"/>
        <item x="454"/>
        <item x="474"/>
        <item x="461"/>
        <item x="486"/>
        <item x="444"/>
        <item x="57"/>
        <item x="293"/>
        <item x="21"/>
        <item x="419"/>
        <item x="279"/>
        <item x="286"/>
        <item x="5"/>
        <item x="45"/>
        <item x="85"/>
        <item x="92"/>
        <item x="14"/>
        <item x="112"/>
        <item x="42"/>
        <item x="458"/>
        <item x="462"/>
        <item x="417"/>
        <item x="416"/>
        <item x="99"/>
        <item x="382"/>
        <item x="414"/>
        <item x="294"/>
        <item x="297"/>
        <item x="379"/>
        <item x="381"/>
        <item x="357"/>
        <item x="136"/>
        <item x="26"/>
        <item x="262"/>
        <item x="398"/>
        <item x="329"/>
        <item x="118"/>
        <item x="422"/>
        <item x="123"/>
        <item x="295"/>
        <item x="393"/>
        <item x="298"/>
        <item x="303"/>
        <item x="372"/>
        <item x="283"/>
        <item x="148"/>
        <item x="282"/>
        <item x="159"/>
        <item x="465"/>
        <item x="363"/>
        <item x="362"/>
        <item x="367"/>
        <item x="433"/>
        <item x="385"/>
        <item x="491"/>
        <item x="19"/>
        <item x="36"/>
        <item x="389"/>
        <item x="285"/>
        <item x="30"/>
        <item x="410"/>
        <item x="11"/>
        <item x="185"/>
        <item x="304"/>
        <item x="260"/>
        <item x="290"/>
        <item x="289"/>
        <item x="350"/>
        <item x="318"/>
        <item x="476"/>
        <item x="233"/>
        <item x="223"/>
        <item x="273"/>
        <item x="269"/>
        <item x="266"/>
        <item x="238"/>
        <item x="160"/>
        <item x="193"/>
        <item x="248"/>
        <item x="177"/>
        <item x="272"/>
        <item x="195"/>
        <item x="271"/>
        <item x="166"/>
        <item x="255"/>
        <item x="268"/>
        <item x="59"/>
        <item x="250"/>
        <item x="181"/>
        <item x="186"/>
        <item x="149"/>
        <item x="198"/>
        <item x="267"/>
        <item x="115"/>
        <item x="251"/>
        <item x="247"/>
        <item x="263"/>
        <item x="141"/>
        <item x="172"/>
        <item x="48"/>
        <item x="197"/>
        <item x="222"/>
        <item x="158"/>
        <item x="243"/>
        <item x="221"/>
        <item x="143"/>
        <item x="161"/>
        <item x="124"/>
        <item x="236"/>
        <item x="249"/>
        <item x="218"/>
        <item x="156"/>
        <item x="87"/>
        <item x="226"/>
        <item x="169"/>
        <item x="270"/>
        <item x="191"/>
        <item x="241"/>
        <item x="137"/>
        <item x="188"/>
        <item x="213"/>
        <item x="219"/>
        <item x="179"/>
        <item x="77"/>
        <item x="125"/>
        <item x="114"/>
        <item x="277"/>
        <item x="259"/>
        <item x="264"/>
        <item x="180"/>
        <item x="96"/>
        <item x="178"/>
        <item x="199"/>
        <item x="78"/>
        <item x="189"/>
        <item x="194"/>
        <item x="257"/>
        <item x="207"/>
        <item x="192"/>
        <item x="187"/>
        <item x="201"/>
        <item x="196"/>
        <item x="175"/>
        <item x="209"/>
        <item x="135"/>
        <item x="183"/>
        <item x="173"/>
        <item x="122"/>
        <item x="49"/>
        <item x="89"/>
        <item x="80"/>
        <item x="90"/>
        <item x="167"/>
        <item x="138"/>
        <item x="225"/>
        <item x="206"/>
        <item x="128"/>
        <item x="171"/>
        <item x="162"/>
        <item x="168"/>
        <item x="252"/>
        <item x="275"/>
        <item x="242"/>
        <item x="204"/>
        <item x="98"/>
        <item x="202"/>
        <item x="101"/>
        <item x="93"/>
        <item x="145"/>
        <item x="134"/>
        <item x="276"/>
        <item x="278"/>
        <item x="155"/>
        <item x="84"/>
        <item x="65"/>
        <item x="190"/>
        <item x="182"/>
        <item x="44"/>
        <item x="110"/>
        <item x="108"/>
        <item x="67"/>
        <item x="217"/>
        <item x="164"/>
        <item x="46"/>
        <item x="51"/>
        <item x="72"/>
        <item x="129"/>
        <item x="170"/>
        <item x="214"/>
        <item x="163"/>
        <item x="176"/>
        <item x="71"/>
        <item x="245"/>
        <item x="126"/>
        <item x="265"/>
        <item x="208"/>
        <item x="104"/>
        <item x="113"/>
        <item x="146"/>
        <item x="103"/>
        <item x="153"/>
        <item x="43"/>
        <item x="81"/>
        <item x="274"/>
        <item x="394"/>
        <item x="331"/>
        <item x="324"/>
        <item x="281"/>
        <item x="373"/>
        <item x="391"/>
        <item x="1"/>
        <item x="23"/>
        <item x="375"/>
        <item x="234"/>
        <item x="237"/>
        <item x="29"/>
        <item x="7"/>
        <item x="287"/>
        <item x="302"/>
        <item x="405"/>
        <item x="227"/>
        <item x="390"/>
        <item x="473"/>
        <item x="387"/>
        <item x="356"/>
        <item x="254"/>
        <item x="489"/>
        <item x="415"/>
        <item x="403"/>
        <item x="10"/>
        <item x="445"/>
        <item x="383"/>
        <item x="384"/>
        <item x="409"/>
        <item x="333"/>
        <item x="413"/>
        <item x="322"/>
        <item x="334"/>
        <item x="424"/>
        <item x="32"/>
        <item x="436"/>
        <item x="440"/>
        <item x="447"/>
        <item x="439"/>
        <item x="364"/>
        <item x="300"/>
        <item x="353"/>
        <item x="346"/>
        <item x="22"/>
        <item x="453"/>
        <item x="228"/>
        <item x="83"/>
        <item x="246"/>
        <item x="244"/>
        <item x="210"/>
        <item x="235"/>
        <item x="388"/>
        <item x="117"/>
        <item x="203"/>
        <item x="139"/>
        <item x="200"/>
        <item x="464"/>
        <item x="27"/>
        <item x="28"/>
        <item x="33"/>
        <item x="111"/>
        <item x="62"/>
        <item x="239"/>
        <item x="240"/>
        <item x="39"/>
        <item x="468"/>
        <item x="397"/>
        <item x="31"/>
        <item x="79"/>
        <item x="0"/>
        <item x="484"/>
        <item x="94"/>
        <item x="6"/>
        <item x="320"/>
        <item x="150"/>
        <item x="152"/>
        <item x="420"/>
        <item x="399"/>
        <item x="427"/>
        <item x="377"/>
        <item x="224"/>
        <item x="307"/>
        <item x="305"/>
        <item x="140"/>
        <item x="441"/>
        <item x="438"/>
        <item x="58"/>
        <item x="368"/>
        <item x="106"/>
        <item x="105"/>
        <item x="429"/>
        <item x="472"/>
        <item x="467"/>
        <item x="463"/>
        <item x="313"/>
        <item x="404"/>
        <item x="253"/>
        <item x="64"/>
        <item x="3"/>
        <item x="308"/>
        <item x="107"/>
        <item x="60"/>
        <item x="358"/>
        <item x="349"/>
        <item x="316"/>
        <item x="493"/>
        <item x="338"/>
        <item x="215"/>
        <item x="446"/>
        <item x="220"/>
        <item x="95"/>
        <item x="17"/>
        <item x="35"/>
        <item x="288"/>
        <item x="147"/>
        <item x="306"/>
        <item x="317"/>
        <item x="310"/>
        <item x="471"/>
        <item x="309"/>
        <item x="311"/>
        <item x="97"/>
        <item x="314"/>
        <item x="319"/>
        <item x="74"/>
        <item x="344"/>
        <item x="355"/>
        <item x="352"/>
        <item x="323"/>
        <item x="478"/>
        <item x="431"/>
        <item x="9"/>
        <item x="411"/>
        <item x="55"/>
        <item x="452"/>
        <item x="299"/>
        <item x="386"/>
        <item x="396"/>
        <item x="401"/>
        <item x="475"/>
        <item x="487"/>
        <item x="37"/>
        <item x="76"/>
        <item x="312"/>
        <item x="50"/>
        <item x="100"/>
        <item x="184"/>
        <item x="24"/>
        <item x="130"/>
        <item x="132"/>
        <item x="102"/>
        <item x="481"/>
        <item x="485"/>
        <item x="459"/>
        <item x="430"/>
        <item x="376"/>
        <item x="425"/>
        <item x="477"/>
        <item x="421"/>
        <item x="492"/>
        <item x="488"/>
        <item x="432"/>
        <item x="261"/>
        <item x="392"/>
        <item x="339"/>
        <item x="231"/>
        <item x="348"/>
        <item x="365"/>
        <item x="347"/>
        <item x="366"/>
        <item x="53"/>
        <item x="165"/>
        <item x="315"/>
        <item x="16"/>
        <item x="13"/>
        <item x="332"/>
        <item x="337"/>
        <item x="402"/>
        <item x="450"/>
        <item x="400"/>
        <item x="15"/>
        <item x="82"/>
        <item x="41"/>
        <item x="449"/>
        <item x="370"/>
        <item x="157"/>
        <item x="119"/>
        <item x="73"/>
        <item x="428"/>
        <item x="133"/>
        <item x="457"/>
        <item x="66"/>
        <item x="258"/>
        <item x="408"/>
        <item x="407"/>
        <item x="340"/>
        <item x="4"/>
        <item x="336"/>
        <item x="490"/>
        <item x="378"/>
        <item x="120"/>
        <item x="88"/>
        <item x="371"/>
        <item x="56"/>
        <item x="326"/>
        <item x="296"/>
        <item x="211"/>
        <item x="280"/>
        <item x="91"/>
        <item x="469"/>
        <item x="483"/>
        <item x="292"/>
        <item x="301"/>
        <item x="456"/>
        <item x="437"/>
        <item x="434"/>
        <item x="345"/>
        <item x="327"/>
        <item x="374"/>
        <item x="40"/>
        <item x="354"/>
        <item x="343"/>
        <item x="284"/>
        <item x="328"/>
        <item x="360"/>
        <item x="341"/>
        <item x="361"/>
        <item x="321"/>
        <item x="109"/>
        <item x="325"/>
        <item x="154"/>
        <item x="212"/>
        <item x="230"/>
        <item x="291"/>
        <item x="426"/>
        <item x="216"/>
        <item x="423"/>
        <item x="174"/>
        <item x="18"/>
        <item x="330"/>
        <item x="151"/>
        <item x="480"/>
        <item x="34"/>
        <item x="395"/>
        <item x="451"/>
        <item x="12"/>
        <item x="443"/>
        <item x="448"/>
        <item x="86"/>
        <item x="359"/>
        <item x="229"/>
        <item x="8"/>
        <item t="default"/>
      </items>
    </pivotField>
    <pivotField showAll="0" defaultSubtotal="0"/>
    <pivotField showAll="0">
      <items count="5">
        <item x="0"/>
        <item x="2"/>
        <item x="1"/>
        <item x="3"/>
        <item t="default"/>
      </items>
    </pivotField>
    <pivotField numFmtId="14" showAll="0">
      <items count="15">
        <item x="0"/>
        <item x="1"/>
        <item x="2"/>
        <item x="3"/>
        <item x="4"/>
        <item x="5"/>
        <item x="6"/>
        <item x="7"/>
        <item x="8"/>
        <item x="9"/>
        <item x="10"/>
        <item x="11"/>
        <item x="12"/>
        <item x="13"/>
        <item t="default"/>
      </items>
    </pivotField>
    <pivotField axis="axisRow" numFmtId="166" showAll="0" defaultSubtotal="0">
      <items count="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numFmtId="1" showAll="0"/>
    <pivotField dataField="1" numFmtId="1" showAll="0"/>
    <pivotField numFmtId="2" showAll="0"/>
    <pivotField numFmtId="1" showAll="0"/>
    <pivotField showAll="0"/>
    <pivotField numFmtId="1" showAll="0"/>
    <pivotField numFmtId="2" showAll="0"/>
    <pivotField showAll="0" defaultSubtotal="0">
      <items count="10">
        <item x="0"/>
        <item x="1"/>
        <item x="2"/>
        <item x="3"/>
        <item x="4"/>
        <item x="5"/>
        <item x="6"/>
        <item x="7"/>
        <item x="8"/>
        <item x="9"/>
      </items>
    </pivotField>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Views" fld="7" baseField="0" baseItem="0"/>
  </dataFields>
  <chartFormats count="3">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4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9" firstHeaderRow="1" firstDataRow="1" firstDataCol="1"/>
  <pivotFields count="14">
    <pivotField showAll="0"/>
    <pivotField showAll="0" sortType="descending">
      <items count="495">
        <item x="131"/>
        <item x="351"/>
        <item x="142"/>
        <item x="256"/>
        <item x="25"/>
        <item x="61"/>
        <item x="69"/>
        <item x="63"/>
        <item x="70"/>
        <item x="205"/>
        <item x="52"/>
        <item x="68"/>
        <item x="232"/>
        <item x="342"/>
        <item x="144"/>
        <item x="479"/>
        <item x="20"/>
        <item x="75"/>
        <item x="47"/>
        <item x="435"/>
        <item x="466"/>
        <item x="482"/>
        <item x="442"/>
        <item x="54"/>
        <item x="369"/>
        <item x="460"/>
        <item x="455"/>
        <item x="38"/>
        <item x="116"/>
        <item x="418"/>
        <item x="2"/>
        <item x="127"/>
        <item x="335"/>
        <item x="406"/>
        <item x="412"/>
        <item x="470"/>
        <item x="380"/>
        <item x="121"/>
        <item x="454"/>
        <item x="474"/>
        <item x="461"/>
        <item x="486"/>
        <item x="444"/>
        <item x="57"/>
        <item x="293"/>
        <item x="21"/>
        <item x="419"/>
        <item x="279"/>
        <item x="286"/>
        <item x="5"/>
        <item x="45"/>
        <item x="85"/>
        <item x="92"/>
        <item x="14"/>
        <item x="112"/>
        <item x="42"/>
        <item x="458"/>
        <item x="462"/>
        <item x="417"/>
        <item x="416"/>
        <item x="99"/>
        <item x="382"/>
        <item x="414"/>
        <item x="294"/>
        <item x="297"/>
        <item x="379"/>
        <item x="381"/>
        <item x="357"/>
        <item x="136"/>
        <item x="26"/>
        <item x="262"/>
        <item x="398"/>
        <item x="329"/>
        <item x="118"/>
        <item x="422"/>
        <item x="123"/>
        <item x="295"/>
        <item x="393"/>
        <item x="298"/>
        <item x="303"/>
        <item x="372"/>
        <item x="283"/>
        <item x="148"/>
        <item x="282"/>
        <item x="159"/>
        <item x="465"/>
        <item x="363"/>
        <item x="362"/>
        <item x="367"/>
        <item x="433"/>
        <item x="385"/>
        <item x="491"/>
        <item x="19"/>
        <item x="36"/>
        <item x="389"/>
        <item x="285"/>
        <item x="30"/>
        <item x="410"/>
        <item x="11"/>
        <item x="185"/>
        <item x="304"/>
        <item x="260"/>
        <item x="290"/>
        <item x="289"/>
        <item x="350"/>
        <item x="318"/>
        <item x="476"/>
        <item x="233"/>
        <item x="223"/>
        <item x="273"/>
        <item x="269"/>
        <item x="266"/>
        <item x="238"/>
        <item x="160"/>
        <item x="193"/>
        <item x="248"/>
        <item x="177"/>
        <item x="272"/>
        <item x="195"/>
        <item x="271"/>
        <item x="166"/>
        <item x="255"/>
        <item x="268"/>
        <item x="59"/>
        <item x="250"/>
        <item x="181"/>
        <item x="186"/>
        <item x="149"/>
        <item x="198"/>
        <item x="267"/>
        <item x="115"/>
        <item x="251"/>
        <item x="247"/>
        <item x="263"/>
        <item x="141"/>
        <item x="172"/>
        <item x="48"/>
        <item x="197"/>
        <item x="222"/>
        <item x="158"/>
        <item x="243"/>
        <item x="221"/>
        <item x="143"/>
        <item x="161"/>
        <item x="124"/>
        <item x="236"/>
        <item x="249"/>
        <item x="218"/>
        <item x="156"/>
        <item x="87"/>
        <item x="226"/>
        <item x="169"/>
        <item x="270"/>
        <item x="191"/>
        <item x="241"/>
        <item x="137"/>
        <item x="188"/>
        <item x="213"/>
        <item x="219"/>
        <item x="179"/>
        <item x="77"/>
        <item x="125"/>
        <item x="114"/>
        <item x="277"/>
        <item x="259"/>
        <item x="264"/>
        <item x="180"/>
        <item x="96"/>
        <item x="178"/>
        <item x="199"/>
        <item x="78"/>
        <item x="189"/>
        <item x="194"/>
        <item x="257"/>
        <item x="207"/>
        <item x="192"/>
        <item x="187"/>
        <item x="201"/>
        <item x="196"/>
        <item x="175"/>
        <item x="209"/>
        <item x="135"/>
        <item x="183"/>
        <item x="173"/>
        <item x="122"/>
        <item x="49"/>
        <item x="89"/>
        <item x="80"/>
        <item x="90"/>
        <item x="167"/>
        <item x="138"/>
        <item x="225"/>
        <item x="206"/>
        <item x="128"/>
        <item x="171"/>
        <item x="162"/>
        <item x="168"/>
        <item x="252"/>
        <item x="275"/>
        <item x="242"/>
        <item x="204"/>
        <item x="98"/>
        <item x="202"/>
        <item x="101"/>
        <item x="93"/>
        <item x="145"/>
        <item x="134"/>
        <item x="276"/>
        <item x="278"/>
        <item x="155"/>
        <item x="84"/>
        <item x="65"/>
        <item x="190"/>
        <item x="182"/>
        <item x="44"/>
        <item x="110"/>
        <item x="108"/>
        <item x="67"/>
        <item x="217"/>
        <item x="164"/>
        <item x="46"/>
        <item x="51"/>
        <item x="72"/>
        <item x="129"/>
        <item x="170"/>
        <item x="214"/>
        <item x="163"/>
        <item x="176"/>
        <item x="71"/>
        <item x="245"/>
        <item x="126"/>
        <item x="265"/>
        <item x="208"/>
        <item x="104"/>
        <item x="113"/>
        <item x="146"/>
        <item x="103"/>
        <item x="153"/>
        <item x="43"/>
        <item x="81"/>
        <item x="274"/>
        <item x="394"/>
        <item x="331"/>
        <item x="324"/>
        <item x="281"/>
        <item x="373"/>
        <item x="391"/>
        <item x="1"/>
        <item x="23"/>
        <item x="375"/>
        <item x="234"/>
        <item x="237"/>
        <item x="29"/>
        <item x="7"/>
        <item x="287"/>
        <item x="302"/>
        <item x="405"/>
        <item x="227"/>
        <item x="390"/>
        <item x="473"/>
        <item x="387"/>
        <item x="356"/>
        <item x="254"/>
        <item x="489"/>
        <item x="415"/>
        <item x="403"/>
        <item x="10"/>
        <item x="445"/>
        <item x="383"/>
        <item x="384"/>
        <item x="409"/>
        <item x="333"/>
        <item x="413"/>
        <item x="322"/>
        <item x="334"/>
        <item x="424"/>
        <item x="32"/>
        <item x="436"/>
        <item x="440"/>
        <item x="447"/>
        <item x="439"/>
        <item x="364"/>
        <item x="300"/>
        <item x="353"/>
        <item x="346"/>
        <item x="22"/>
        <item x="453"/>
        <item x="228"/>
        <item x="83"/>
        <item x="246"/>
        <item x="244"/>
        <item x="210"/>
        <item x="235"/>
        <item x="388"/>
        <item x="117"/>
        <item x="203"/>
        <item x="139"/>
        <item x="200"/>
        <item x="464"/>
        <item x="27"/>
        <item x="28"/>
        <item x="33"/>
        <item x="111"/>
        <item x="62"/>
        <item x="239"/>
        <item x="240"/>
        <item x="39"/>
        <item x="468"/>
        <item x="397"/>
        <item x="31"/>
        <item x="79"/>
        <item x="0"/>
        <item x="484"/>
        <item x="94"/>
        <item x="6"/>
        <item x="320"/>
        <item x="150"/>
        <item x="152"/>
        <item x="420"/>
        <item x="399"/>
        <item x="427"/>
        <item x="377"/>
        <item x="224"/>
        <item x="307"/>
        <item x="305"/>
        <item x="140"/>
        <item x="441"/>
        <item x="438"/>
        <item x="58"/>
        <item x="368"/>
        <item x="106"/>
        <item x="105"/>
        <item x="429"/>
        <item x="472"/>
        <item x="467"/>
        <item x="463"/>
        <item x="313"/>
        <item x="404"/>
        <item x="253"/>
        <item x="64"/>
        <item x="3"/>
        <item x="308"/>
        <item x="107"/>
        <item x="60"/>
        <item x="358"/>
        <item x="349"/>
        <item x="316"/>
        <item x="493"/>
        <item x="338"/>
        <item x="215"/>
        <item x="446"/>
        <item x="220"/>
        <item x="95"/>
        <item x="17"/>
        <item x="35"/>
        <item x="288"/>
        <item x="147"/>
        <item x="306"/>
        <item x="317"/>
        <item x="310"/>
        <item x="471"/>
        <item x="309"/>
        <item x="311"/>
        <item x="97"/>
        <item x="314"/>
        <item x="319"/>
        <item x="74"/>
        <item x="344"/>
        <item x="355"/>
        <item x="352"/>
        <item x="323"/>
        <item x="478"/>
        <item x="431"/>
        <item x="9"/>
        <item x="411"/>
        <item x="55"/>
        <item x="452"/>
        <item x="299"/>
        <item x="386"/>
        <item x="396"/>
        <item x="401"/>
        <item x="475"/>
        <item x="487"/>
        <item x="37"/>
        <item x="76"/>
        <item x="312"/>
        <item x="50"/>
        <item x="100"/>
        <item x="184"/>
        <item x="24"/>
        <item x="130"/>
        <item x="132"/>
        <item x="102"/>
        <item x="481"/>
        <item x="485"/>
        <item x="459"/>
        <item x="430"/>
        <item x="376"/>
        <item x="425"/>
        <item x="477"/>
        <item x="421"/>
        <item x="492"/>
        <item x="488"/>
        <item x="432"/>
        <item x="261"/>
        <item x="392"/>
        <item x="339"/>
        <item x="231"/>
        <item x="348"/>
        <item x="365"/>
        <item x="347"/>
        <item x="366"/>
        <item x="53"/>
        <item x="165"/>
        <item x="315"/>
        <item x="16"/>
        <item x="13"/>
        <item x="332"/>
        <item x="337"/>
        <item x="402"/>
        <item x="450"/>
        <item x="400"/>
        <item x="15"/>
        <item x="82"/>
        <item x="41"/>
        <item x="449"/>
        <item x="370"/>
        <item x="157"/>
        <item x="119"/>
        <item x="73"/>
        <item x="428"/>
        <item x="133"/>
        <item x="457"/>
        <item x="66"/>
        <item x="258"/>
        <item x="408"/>
        <item x="407"/>
        <item x="340"/>
        <item x="4"/>
        <item x="336"/>
        <item x="490"/>
        <item x="378"/>
        <item x="120"/>
        <item x="88"/>
        <item x="371"/>
        <item x="56"/>
        <item x="326"/>
        <item x="296"/>
        <item x="211"/>
        <item x="280"/>
        <item x="91"/>
        <item x="469"/>
        <item x="483"/>
        <item x="292"/>
        <item x="301"/>
        <item x="456"/>
        <item x="437"/>
        <item x="434"/>
        <item x="345"/>
        <item x="327"/>
        <item x="374"/>
        <item x="40"/>
        <item x="354"/>
        <item x="343"/>
        <item x="284"/>
        <item x="328"/>
        <item x="360"/>
        <item x="341"/>
        <item x="361"/>
        <item x="321"/>
        <item x="109"/>
        <item x="325"/>
        <item x="154"/>
        <item x="212"/>
        <item x="230"/>
        <item x="291"/>
        <item x="426"/>
        <item x="216"/>
        <item x="423"/>
        <item x="174"/>
        <item x="18"/>
        <item x="330"/>
        <item x="151"/>
        <item x="480"/>
        <item x="34"/>
        <item x="395"/>
        <item x="451"/>
        <item x="12"/>
        <item x="443"/>
        <item x="448"/>
        <item x="86"/>
        <item x="359"/>
        <item x="229"/>
        <item x="8"/>
        <item t="default"/>
      </items>
      <autoSortScope>
        <pivotArea dataOnly="0" outline="0" fieldPosition="0">
          <references count="1">
            <reference field="4294967294" count="1" selected="0">
              <x v="0"/>
            </reference>
          </references>
        </pivotArea>
      </autoSortScope>
    </pivotField>
    <pivotField axis="axisRow" showAll="0" measureFilter="1" sortType="descending" defaultSubtotal="0">
      <items count="481">
        <item x="126"/>
        <item x="341"/>
        <item x="137"/>
        <item x="248"/>
        <item x="25"/>
        <item x="61"/>
        <item x="68"/>
        <item x="63"/>
        <item x="69"/>
        <item x="199"/>
        <item x="52"/>
        <item x="67"/>
        <item x="226"/>
        <item x="333"/>
        <item x="139"/>
        <item x="466"/>
        <item x="20"/>
        <item x="74"/>
        <item x="47"/>
        <item x="423"/>
        <item x="453"/>
        <item x="469"/>
        <item x="430"/>
        <item x="54"/>
        <item x="357"/>
        <item x="447"/>
        <item x="442"/>
        <item x="38"/>
        <item x="112"/>
        <item x="406"/>
        <item x="2"/>
        <item x="123"/>
        <item x="326"/>
        <item x="394"/>
        <item x="400"/>
        <item x="457"/>
        <item x="368"/>
        <item x="117"/>
        <item x="441"/>
        <item x="461"/>
        <item x="448"/>
        <item x="473"/>
        <item x="432"/>
        <item x="57"/>
        <item x="284"/>
        <item x="21"/>
        <item x="407"/>
        <item x="270"/>
        <item x="277"/>
        <item x="5"/>
        <item x="45"/>
        <item x="84"/>
        <item x="14"/>
        <item x="108"/>
        <item x="42"/>
        <item x="445"/>
        <item x="449"/>
        <item x="405"/>
        <item x="404"/>
        <item x="95"/>
        <item x="370"/>
        <item x="402"/>
        <item x="285"/>
        <item x="288"/>
        <item x="367"/>
        <item x="369"/>
        <item x="347"/>
        <item x="131"/>
        <item x="26"/>
        <item x="254"/>
        <item x="386"/>
        <item x="320"/>
        <item x="114"/>
        <item x="410"/>
        <item x="119"/>
        <item x="286"/>
        <item x="381"/>
        <item x="289"/>
        <item x="294"/>
        <item x="360"/>
        <item x="274"/>
        <item x="143"/>
        <item x="273"/>
        <item x="154"/>
        <item x="452"/>
        <item x="351"/>
        <item x="350"/>
        <item x="355"/>
        <item x="421"/>
        <item x="373"/>
        <item x="478"/>
        <item x="19"/>
        <item x="36"/>
        <item x="377"/>
        <item x="276"/>
        <item x="30"/>
        <item x="398"/>
        <item x="11"/>
        <item x="180"/>
        <item x="295"/>
        <item x="252"/>
        <item x="281"/>
        <item x="280"/>
        <item x="309"/>
        <item x="463"/>
        <item x="227"/>
        <item x="217"/>
        <item x="261"/>
        <item x="258"/>
        <item x="232"/>
        <item x="155"/>
        <item x="241"/>
        <item x="172"/>
        <item x="264"/>
        <item x="189"/>
        <item x="263"/>
        <item x="161"/>
        <item x="247"/>
        <item x="260"/>
        <item x="59"/>
        <item x="243"/>
        <item x="176"/>
        <item x="181"/>
        <item x="144"/>
        <item x="192"/>
        <item x="259"/>
        <item x="111"/>
        <item x="240"/>
        <item x="255"/>
        <item x="136"/>
        <item x="167"/>
        <item x="48"/>
        <item x="191"/>
        <item x="216"/>
        <item x="153"/>
        <item x="237"/>
        <item x="215"/>
        <item x="138"/>
        <item x="156"/>
        <item x="120"/>
        <item x="230"/>
        <item x="242"/>
        <item x="212"/>
        <item x="151"/>
        <item x="86"/>
        <item x="220"/>
        <item x="164"/>
        <item x="262"/>
        <item x="186"/>
        <item x="235"/>
        <item x="132"/>
        <item x="183"/>
        <item x="207"/>
        <item x="213"/>
        <item x="174"/>
        <item x="76"/>
        <item x="121"/>
        <item x="110"/>
        <item x="268"/>
        <item x="251"/>
        <item x="256"/>
        <item x="175"/>
        <item x="92"/>
        <item x="173"/>
        <item x="193"/>
        <item x="77"/>
        <item x="184"/>
        <item x="188"/>
        <item x="249"/>
        <item x="201"/>
        <item x="187"/>
        <item x="182"/>
        <item x="195"/>
        <item x="190"/>
        <item x="170"/>
        <item x="203"/>
        <item x="130"/>
        <item x="178"/>
        <item x="168"/>
        <item x="118"/>
        <item x="49"/>
        <item x="79"/>
        <item x="162"/>
        <item x="133"/>
        <item x="219"/>
        <item x="200"/>
        <item x="124"/>
        <item x="166"/>
        <item x="157"/>
        <item x="163"/>
        <item x="244"/>
        <item x="266"/>
        <item x="236"/>
        <item x="198"/>
        <item x="94"/>
        <item x="196"/>
        <item x="97"/>
        <item x="89"/>
        <item x="140"/>
        <item x="129"/>
        <item x="267"/>
        <item x="269"/>
        <item x="150"/>
        <item x="83"/>
        <item x="64"/>
        <item x="185"/>
        <item x="177"/>
        <item x="44"/>
        <item x="106"/>
        <item x="104"/>
        <item x="66"/>
        <item x="211"/>
        <item x="159"/>
        <item x="46"/>
        <item x="51"/>
        <item x="71"/>
        <item x="165"/>
        <item x="208"/>
        <item x="158"/>
        <item x="171"/>
        <item x="70"/>
        <item x="122"/>
        <item x="257"/>
        <item x="202"/>
        <item x="100"/>
        <item x="109"/>
        <item x="141"/>
        <item x="99"/>
        <item x="148"/>
        <item x="43"/>
        <item x="80"/>
        <item x="265"/>
        <item x="382"/>
        <item x="322"/>
        <item x="315"/>
        <item x="272"/>
        <item x="361"/>
        <item x="379"/>
        <item x="1"/>
        <item x="23"/>
        <item x="363"/>
        <item x="228"/>
        <item x="231"/>
        <item x="29"/>
        <item x="7"/>
        <item x="278"/>
        <item x="293"/>
        <item x="393"/>
        <item x="221"/>
        <item x="378"/>
        <item x="460"/>
        <item x="375"/>
        <item x="346"/>
        <item x="246"/>
        <item x="476"/>
        <item x="403"/>
        <item x="391"/>
        <item x="10"/>
        <item x="433"/>
        <item x="371"/>
        <item x="372"/>
        <item x="397"/>
        <item x="324"/>
        <item x="401"/>
        <item x="313"/>
        <item x="325"/>
        <item x="412"/>
        <item x="32"/>
        <item x="424"/>
        <item x="428"/>
        <item x="435"/>
        <item x="427"/>
        <item x="352"/>
        <item x="291"/>
        <item x="343"/>
        <item x="337"/>
        <item x="22"/>
        <item x="440"/>
        <item x="222"/>
        <item x="82"/>
        <item x="239"/>
        <item x="238"/>
        <item x="204"/>
        <item x="229"/>
        <item x="376"/>
        <item x="113"/>
        <item x="197"/>
        <item x="134"/>
        <item x="194"/>
        <item x="451"/>
        <item x="27"/>
        <item x="28"/>
        <item x="33"/>
        <item x="107"/>
        <item x="62"/>
        <item x="233"/>
        <item x="234"/>
        <item x="39"/>
        <item x="455"/>
        <item x="385"/>
        <item x="31"/>
        <item x="78"/>
        <item x="0"/>
        <item x="471"/>
        <item x="90"/>
        <item x="6"/>
        <item x="311"/>
        <item x="145"/>
        <item x="147"/>
        <item x="408"/>
        <item x="387"/>
        <item x="415"/>
        <item x="365"/>
        <item x="218"/>
        <item x="298"/>
        <item x="296"/>
        <item x="135"/>
        <item x="429"/>
        <item x="426"/>
        <item x="58"/>
        <item x="356"/>
        <item x="102"/>
        <item x="101"/>
        <item x="417"/>
        <item x="459"/>
        <item x="454"/>
        <item x="450"/>
        <item x="304"/>
        <item x="392"/>
        <item x="245"/>
        <item x="3"/>
        <item x="299"/>
        <item x="103"/>
        <item x="60"/>
        <item x="348"/>
        <item x="340"/>
        <item x="307"/>
        <item x="480"/>
        <item x="329"/>
        <item x="209"/>
        <item x="434"/>
        <item x="214"/>
        <item x="91"/>
        <item x="17"/>
        <item x="35"/>
        <item x="279"/>
        <item x="142"/>
        <item x="297"/>
        <item x="308"/>
        <item x="301"/>
        <item x="458"/>
        <item x="300"/>
        <item x="302"/>
        <item x="93"/>
        <item x="305"/>
        <item x="310"/>
        <item x="73"/>
        <item x="335"/>
        <item x="345"/>
        <item x="342"/>
        <item x="314"/>
        <item x="465"/>
        <item x="419"/>
        <item x="9"/>
        <item x="399"/>
        <item x="55"/>
        <item x="439"/>
        <item x="290"/>
        <item x="374"/>
        <item x="384"/>
        <item x="389"/>
        <item x="462"/>
        <item x="474"/>
        <item x="37"/>
        <item x="75"/>
        <item x="303"/>
        <item x="50"/>
        <item x="96"/>
        <item x="179"/>
        <item x="24"/>
        <item x="125"/>
        <item x="127"/>
        <item x="98"/>
        <item x="468"/>
        <item x="472"/>
        <item x="446"/>
        <item x="418"/>
        <item x="364"/>
        <item x="413"/>
        <item x="464"/>
        <item x="409"/>
        <item x="479"/>
        <item x="475"/>
        <item x="420"/>
        <item x="253"/>
        <item x="380"/>
        <item x="330"/>
        <item x="225"/>
        <item x="339"/>
        <item x="353"/>
        <item x="338"/>
        <item x="354"/>
        <item x="53"/>
        <item x="160"/>
        <item x="306"/>
        <item x="16"/>
        <item x="13"/>
        <item x="323"/>
        <item x="328"/>
        <item x="390"/>
        <item x="437"/>
        <item x="388"/>
        <item x="15"/>
        <item x="81"/>
        <item x="41"/>
        <item x="436"/>
        <item x="358"/>
        <item x="152"/>
        <item x="115"/>
        <item x="72"/>
        <item x="416"/>
        <item x="128"/>
        <item x="444"/>
        <item x="65"/>
        <item x="250"/>
        <item x="396"/>
        <item x="395"/>
        <item x="331"/>
        <item x="4"/>
        <item x="327"/>
        <item x="477"/>
        <item x="366"/>
        <item x="116"/>
        <item x="87"/>
        <item x="359"/>
        <item x="56"/>
        <item x="317"/>
        <item x="287"/>
        <item x="205"/>
        <item x="271"/>
        <item x="88"/>
        <item x="456"/>
        <item x="470"/>
        <item x="283"/>
        <item x="292"/>
        <item x="443"/>
        <item x="425"/>
        <item x="422"/>
        <item x="336"/>
        <item x="318"/>
        <item x="362"/>
        <item x="40"/>
        <item x="344"/>
        <item x="334"/>
        <item x="275"/>
        <item x="319"/>
        <item x="332"/>
        <item x="312"/>
        <item x="105"/>
        <item x="316"/>
        <item x="149"/>
        <item x="206"/>
        <item x="224"/>
        <item x="282"/>
        <item x="414"/>
        <item x="210"/>
        <item x="411"/>
        <item x="169"/>
        <item x="18"/>
        <item x="321"/>
        <item x="146"/>
        <item x="467"/>
        <item x="34"/>
        <item x="383"/>
        <item x="438"/>
        <item x="12"/>
        <item x="431"/>
        <item x="85"/>
        <item x="349"/>
        <item x="223"/>
        <item x="8"/>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numFmtId="14" showAll="0">
      <items count="15">
        <item x="0"/>
        <item x="1"/>
        <item x="2"/>
        <item x="3"/>
        <item x="4"/>
        <item x="5"/>
        <item x="6"/>
        <item x="7"/>
        <item x="8"/>
        <item x="9"/>
        <item x="10"/>
        <item x="11"/>
        <item x="12"/>
        <item x="13"/>
        <item t="default"/>
      </items>
    </pivotField>
    <pivotField numFmtId="166" showAll="0"/>
    <pivotField numFmtId="1" showAll="0"/>
    <pivotField dataField="1" numFmtId="1" showAll="0"/>
    <pivotField numFmtId="2" showAll="0"/>
    <pivotField numFmtId="1" showAll="0"/>
    <pivotField showAll="0"/>
    <pivotField numFmtId="1" showAll="0"/>
    <pivotField numFmtId="2" showAll="0"/>
    <pivotField showAll="0" defaultSubtotal="0">
      <items count="10">
        <item x="0"/>
        <item x="1"/>
        <item x="2"/>
        <item x="3"/>
        <item x="4"/>
        <item x="5"/>
        <item x="6"/>
        <item x="7"/>
        <item x="8"/>
        <item x="9"/>
      </items>
    </pivotField>
  </pivotFields>
  <rowFields count="1">
    <field x="2"/>
  </rowFields>
  <rowItems count="6">
    <i>
      <x v="353"/>
    </i>
    <i>
      <x v="46"/>
    </i>
    <i>
      <x v="55"/>
    </i>
    <i>
      <x v="5"/>
    </i>
    <i>
      <x v="181"/>
    </i>
    <i t="grand">
      <x/>
    </i>
  </rowItems>
  <colItems count="1">
    <i/>
  </colItems>
  <dataFields count="1">
    <dataField name="Sum of Views" fld="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53"/>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 count="1" selected="0">
            <x v="353"/>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8" firstHeaderRow="1" firstDataRow="1" firstDataCol="1"/>
  <pivotFields count="14">
    <pivotField showAll="0"/>
    <pivotField showAll="0">
      <items count="495">
        <item x="131"/>
        <item x="351"/>
        <item x="142"/>
        <item x="256"/>
        <item x="25"/>
        <item x="61"/>
        <item x="69"/>
        <item x="63"/>
        <item x="70"/>
        <item x="205"/>
        <item x="52"/>
        <item x="68"/>
        <item x="232"/>
        <item x="342"/>
        <item x="144"/>
        <item x="479"/>
        <item x="20"/>
        <item x="75"/>
        <item x="47"/>
        <item x="435"/>
        <item x="466"/>
        <item x="482"/>
        <item x="442"/>
        <item x="54"/>
        <item x="369"/>
        <item x="460"/>
        <item x="455"/>
        <item x="38"/>
        <item x="116"/>
        <item x="418"/>
        <item x="2"/>
        <item x="127"/>
        <item x="335"/>
        <item x="406"/>
        <item x="412"/>
        <item x="470"/>
        <item x="380"/>
        <item x="121"/>
        <item x="454"/>
        <item x="474"/>
        <item x="461"/>
        <item x="486"/>
        <item x="444"/>
        <item x="57"/>
        <item x="293"/>
        <item x="21"/>
        <item x="419"/>
        <item x="279"/>
        <item x="286"/>
        <item x="5"/>
        <item x="45"/>
        <item x="85"/>
        <item x="92"/>
        <item x="14"/>
        <item x="112"/>
        <item x="42"/>
        <item x="458"/>
        <item x="462"/>
        <item x="417"/>
        <item x="416"/>
        <item x="99"/>
        <item x="382"/>
        <item x="414"/>
        <item x="294"/>
        <item x="297"/>
        <item x="379"/>
        <item x="381"/>
        <item x="357"/>
        <item x="136"/>
        <item x="26"/>
        <item x="262"/>
        <item x="398"/>
        <item x="329"/>
        <item x="118"/>
        <item x="422"/>
        <item x="123"/>
        <item x="295"/>
        <item x="393"/>
        <item x="298"/>
        <item x="303"/>
        <item x="372"/>
        <item x="283"/>
        <item x="148"/>
        <item x="282"/>
        <item x="159"/>
        <item x="465"/>
        <item x="363"/>
        <item x="362"/>
        <item x="367"/>
        <item x="433"/>
        <item x="385"/>
        <item x="491"/>
        <item x="19"/>
        <item x="36"/>
        <item x="389"/>
        <item x="285"/>
        <item x="30"/>
        <item x="410"/>
        <item x="11"/>
        <item x="185"/>
        <item x="304"/>
        <item x="260"/>
        <item x="290"/>
        <item x="289"/>
        <item x="350"/>
        <item x="318"/>
        <item x="476"/>
        <item x="233"/>
        <item x="223"/>
        <item x="273"/>
        <item x="269"/>
        <item x="266"/>
        <item x="238"/>
        <item x="160"/>
        <item x="193"/>
        <item x="248"/>
        <item x="177"/>
        <item x="272"/>
        <item x="195"/>
        <item x="271"/>
        <item x="166"/>
        <item x="255"/>
        <item x="268"/>
        <item x="59"/>
        <item x="250"/>
        <item x="181"/>
        <item x="186"/>
        <item x="149"/>
        <item x="198"/>
        <item x="267"/>
        <item x="115"/>
        <item x="251"/>
        <item x="247"/>
        <item x="263"/>
        <item x="141"/>
        <item x="172"/>
        <item x="48"/>
        <item x="197"/>
        <item x="222"/>
        <item x="158"/>
        <item x="243"/>
        <item x="221"/>
        <item x="143"/>
        <item x="161"/>
        <item x="124"/>
        <item x="236"/>
        <item x="249"/>
        <item x="218"/>
        <item x="156"/>
        <item x="87"/>
        <item x="226"/>
        <item x="169"/>
        <item x="270"/>
        <item x="191"/>
        <item x="241"/>
        <item x="137"/>
        <item x="188"/>
        <item x="213"/>
        <item x="219"/>
        <item x="179"/>
        <item x="77"/>
        <item x="125"/>
        <item x="114"/>
        <item x="277"/>
        <item x="259"/>
        <item x="264"/>
        <item x="180"/>
        <item x="96"/>
        <item x="178"/>
        <item x="199"/>
        <item x="78"/>
        <item x="189"/>
        <item x="194"/>
        <item x="257"/>
        <item x="207"/>
        <item x="192"/>
        <item x="187"/>
        <item x="201"/>
        <item x="196"/>
        <item x="175"/>
        <item x="209"/>
        <item x="135"/>
        <item x="183"/>
        <item x="173"/>
        <item x="122"/>
        <item x="49"/>
        <item x="89"/>
        <item x="80"/>
        <item x="90"/>
        <item x="167"/>
        <item x="138"/>
        <item x="225"/>
        <item x="206"/>
        <item x="128"/>
        <item x="171"/>
        <item x="162"/>
        <item x="168"/>
        <item x="252"/>
        <item x="275"/>
        <item x="242"/>
        <item x="204"/>
        <item x="98"/>
        <item x="202"/>
        <item x="101"/>
        <item x="93"/>
        <item x="145"/>
        <item x="134"/>
        <item x="276"/>
        <item x="278"/>
        <item x="155"/>
        <item x="84"/>
        <item x="65"/>
        <item x="190"/>
        <item x="182"/>
        <item x="44"/>
        <item x="110"/>
        <item x="108"/>
        <item x="67"/>
        <item x="217"/>
        <item x="164"/>
        <item x="46"/>
        <item x="51"/>
        <item x="72"/>
        <item x="129"/>
        <item x="170"/>
        <item x="214"/>
        <item x="163"/>
        <item x="176"/>
        <item x="71"/>
        <item x="245"/>
        <item x="126"/>
        <item x="265"/>
        <item x="208"/>
        <item x="104"/>
        <item x="113"/>
        <item x="146"/>
        <item x="103"/>
        <item x="153"/>
        <item x="43"/>
        <item x="81"/>
        <item x="274"/>
        <item x="394"/>
        <item x="331"/>
        <item x="324"/>
        <item x="281"/>
        <item x="373"/>
        <item x="391"/>
        <item x="1"/>
        <item x="23"/>
        <item x="375"/>
        <item x="234"/>
        <item x="237"/>
        <item x="29"/>
        <item x="7"/>
        <item x="287"/>
        <item x="302"/>
        <item x="405"/>
        <item x="227"/>
        <item x="390"/>
        <item x="473"/>
        <item x="387"/>
        <item x="356"/>
        <item x="254"/>
        <item x="489"/>
        <item x="415"/>
        <item x="403"/>
        <item x="10"/>
        <item x="445"/>
        <item x="383"/>
        <item x="384"/>
        <item x="409"/>
        <item x="333"/>
        <item x="413"/>
        <item x="322"/>
        <item x="334"/>
        <item x="424"/>
        <item x="32"/>
        <item x="436"/>
        <item x="440"/>
        <item x="447"/>
        <item x="439"/>
        <item x="364"/>
        <item x="300"/>
        <item x="353"/>
        <item x="346"/>
        <item x="22"/>
        <item x="453"/>
        <item x="228"/>
        <item x="83"/>
        <item x="246"/>
        <item x="244"/>
        <item x="210"/>
        <item x="235"/>
        <item x="388"/>
        <item x="117"/>
        <item x="203"/>
        <item x="139"/>
        <item x="200"/>
        <item x="464"/>
        <item x="27"/>
        <item x="28"/>
        <item x="33"/>
        <item x="111"/>
        <item x="62"/>
        <item x="239"/>
        <item x="240"/>
        <item x="39"/>
        <item x="468"/>
        <item x="397"/>
        <item x="31"/>
        <item x="79"/>
        <item x="0"/>
        <item x="484"/>
        <item x="94"/>
        <item x="6"/>
        <item x="320"/>
        <item x="150"/>
        <item x="152"/>
        <item x="420"/>
        <item x="399"/>
        <item x="427"/>
        <item x="377"/>
        <item x="224"/>
        <item x="307"/>
        <item x="305"/>
        <item x="140"/>
        <item x="441"/>
        <item x="438"/>
        <item x="58"/>
        <item x="368"/>
        <item x="106"/>
        <item x="105"/>
        <item x="429"/>
        <item x="472"/>
        <item x="467"/>
        <item x="463"/>
        <item x="313"/>
        <item x="404"/>
        <item x="253"/>
        <item x="64"/>
        <item x="3"/>
        <item x="308"/>
        <item x="107"/>
        <item x="60"/>
        <item x="358"/>
        <item x="349"/>
        <item x="316"/>
        <item x="493"/>
        <item x="338"/>
        <item x="215"/>
        <item x="446"/>
        <item x="220"/>
        <item x="95"/>
        <item x="17"/>
        <item x="35"/>
        <item x="288"/>
        <item x="147"/>
        <item x="306"/>
        <item x="317"/>
        <item x="310"/>
        <item x="471"/>
        <item x="309"/>
        <item x="311"/>
        <item x="97"/>
        <item x="314"/>
        <item x="319"/>
        <item x="74"/>
        <item x="344"/>
        <item x="355"/>
        <item x="352"/>
        <item x="323"/>
        <item x="478"/>
        <item x="431"/>
        <item x="9"/>
        <item x="411"/>
        <item x="55"/>
        <item x="452"/>
        <item x="299"/>
        <item x="386"/>
        <item x="396"/>
        <item x="401"/>
        <item x="475"/>
        <item x="487"/>
        <item x="37"/>
        <item x="76"/>
        <item x="312"/>
        <item x="50"/>
        <item x="100"/>
        <item x="184"/>
        <item x="24"/>
        <item x="130"/>
        <item x="132"/>
        <item x="102"/>
        <item x="481"/>
        <item x="485"/>
        <item x="459"/>
        <item x="430"/>
        <item x="376"/>
        <item x="425"/>
        <item x="477"/>
        <item x="421"/>
        <item x="492"/>
        <item x="488"/>
        <item x="432"/>
        <item x="261"/>
        <item x="392"/>
        <item x="339"/>
        <item x="231"/>
        <item x="348"/>
        <item x="365"/>
        <item x="347"/>
        <item x="366"/>
        <item x="53"/>
        <item x="165"/>
        <item x="315"/>
        <item x="16"/>
        <item x="13"/>
        <item x="332"/>
        <item x="337"/>
        <item x="402"/>
        <item x="450"/>
        <item x="400"/>
        <item x="15"/>
        <item x="82"/>
        <item x="41"/>
        <item x="449"/>
        <item x="370"/>
        <item x="157"/>
        <item x="119"/>
        <item x="73"/>
        <item x="428"/>
        <item x="133"/>
        <item x="457"/>
        <item x="66"/>
        <item x="258"/>
        <item x="408"/>
        <item x="407"/>
        <item x="340"/>
        <item x="4"/>
        <item x="336"/>
        <item x="490"/>
        <item x="378"/>
        <item x="120"/>
        <item x="88"/>
        <item x="371"/>
        <item x="56"/>
        <item x="326"/>
        <item x="296"/>
        <item x="211"/>
        <item x="280"/>
        <item x="91"/>
        <item x="469"/>
        <item x="483"/>
        <item x="292"/>
        <item x="301"/>
        <item x="456"/>
        <item x="437"/>
        <item x="434"/>
        <item x="345"/>
        <item x="327"/>
        <item x="374"/>
        <item x="40"/>
        <item x="354"/>
        <item x="343"/>
        <item x="284"/>
        <item x="328"/>
        <item x="360"/>
        <item x="341"/>
        <item x="361"/>
        <item x="321"/>
        <item x="109"/>
        <item x="325"/>
        <item x="154"/>
        <item x="212"/>
        <item x="230"/>
        <item x="291"/>
        <item x="426"/>
        <item x="216"/>
        <item x="423"/>
        <item x="174"/>
        <item x="18"/>
        <item x="330"/>
        <item x="151"/>
        <item x="480"/>
        <item x="34"/>
        <item x="395"/>
        <item x="451"/>
        <item x="12"/>
        <item x="443"/>
        <item x="448"/>
        <item x="86"/>
        <item x="359"/>
        <item x="229"/>
        <item x="8"/>
        <item t="default"/>
      </items>
    </pivotField>
    <pivotField showAll="0"/>
    <pivotField axis="axisRow" showAll="0">
      <items count="5">
        <item x="0"/>
        <item x="2"/>
        <item x="1"/>
        <item x="3"/>
        <item t="default"/>
      </items>
    </pivotField>
    <pivotField numFmtId="14" showAll="0">
      <items count="15">
        <item x="0"/>
        <item x="1"/>
        <item x="2"/>
        <item x="3"/>
        <item x="4"/>
        <item x="5"/>
        <item x="6"/>
        <item x="7"/>
        <item x="8"/>
        <item x="9"/>
        <item x="10"/>
        <item x="11"/>
        <item x="12"/>
        <item x="13"/>
        <item t="default"/>
      </items>
    </pivotField>
    <pivotField numFmtId="166" showAll="0"/>
    <pivotField numFmtId="1" showAll="0"/>
    <pivotField numFmtId="1" showAll="0"/>
    <pivotField numFmtId="2" showAll="0"/>
    <pivotField numFmtId="1" showAll="0"/>
    <pivotField dataField="1" showAll="0"/>
    <pivotField numFmtId="1" showAll="0"/>
    <pivotField numFmtId="2" showAll="0"/>
    <pivotField showAll="0" defaultSubtotal="0">
      <items count="10">
        <item x="0"/>
        <item x="1"/>
        <item x="2"/>
        <item x="3"/>
        <item x="4"/>
        <item x="5"/>
        <item x="6"/>
        <item x="7"/>
        <item x="8"/>
        <item x="9"/>
      </items>
    </pivotField>
  </pivotFields>
  <rowFields count="1">
    <field x="3"/>
  </rowFields>
  <rowItems count="5">
    <i>
      <x/>
    </i>
    <i>
      <x v="1"/>
    </i>
    <i>
      <x v="2"/>
    </i>
    <i>
      <x v="3"/>
    </i>
    <i t="grand">
      <x/>
    </i>
  </rowItems>
  <colItems count="1">
    <i/>
  </colItems>
  <dataFields count="1">
    <dataField name="Sum of Estimated Revenue (INR)" fld="10" baseField="3"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 chart="4" format="11">
      <pivotArea type="data" outline="0" fieldPosition="0">
        <references count="2">
          <reference field="4294967294" count="1" selected="0">
            <x v="0"/>
          </reference>
          <reference field="3" count="1" selected="0">
            <x v="1"/>
          </reference>
        </references>
      </pivotArea>
    </chartFormat>
    <chartFormat chart="4" format="12">
      <pivotArea type="data" outline="0" fieldPosition="0">
        <references count="2">
          <reference field="4294967294" count="1" selected="0">
            <x v="0"/>
          </reference>
          <reference field="3" count="1" selected="0">
            <x v="2"/>
          </reference>
        </references>
      </pivotArea>
    </chartFormat>
    <chartFormat chart="4" format="13">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51" firstHeaderRow="1" firstDataRow="1" firstDataCol="1"/>
  <pivotFields count="14">
    <pivotField showAll="0"/>
    <pivotField showAll="0">
      <items count="495">
        <item x="131"/>
        <item x="351"/>
        <item x="142"/>
        <item x="256"/>
        <item x="25"/>
        <item x="61"/>
        <item x="69"/>
        <item x="63"/>
        <item x="70"/>
        <item x="205"/>
        <item x="52"/>
        <item x="68"/>
        <item x="232"/>
        <item x="342"/>
        <item x="144"/>
        <item x="479"/>
        <item x="20"/>
        <item x="75"/>
        <item x="47"/>
        <item x="435"/>
        <item x="466"/>
        <item x="482"/>
        <item x="442"/>
        <item x="54"/>
        <item x="369"/>
        <item x="460"/>
        <item x="455"/>
        <item x="38"/>
        <item x="116"/>
        <item x="418"/>
        <item x="2"/>
        <item x="127"/>
        <item x="335"/>
        <item x="406"/>
        <item x="412"/>
        <item x="470"/>
        <item x="380"/>
        <item x="121"/>
        <item x="454"/>
        <item x="474"/>
        <item x="461"/>
        <item x="486"/>
        <item x="444"/>
        <item x="57"/>
        <item x="293"/>
        <item x="21"/>
        <item x="419"/>
        <item x="279"/>
        <item x="286"/>
        <item x="5"/>
        <item x="45"/>
        <item x="85"/>
        <item x="92"/>
        <item x="14"/>
        <item x="112"/>
        <item x="42"/>
        <item x="458"/>
        <item x="462"/>
        <item x="417"/>
        <item x="416"/>
        <item x="99"/>
        <item x="382"/>
        <item x="414"/>
        <item x="294"/>
        <item x="297"/>
        <item x="379"/>
        <item x="381"/>
        <item x="357"/>
        <item x="136"/>
        <item x="26"/>
        <item x="262"/>
        <item x="398"/>
        <item x="329"/>
        <item x="118"/>
        <item x="422"/>
        <item x="123"/>
        <item x="295"/>
        <item x="393"/>
        <item x="298"/>
        <item x="303"/>
        <item x="372"/>
        <item x="283"/>
        <item x="148"/>
        <item x="282"/>
        <item x="159"/>
        <item x="465"/>
        <item x="363"/>
        <item x="362"/>
        <item x="367"/>
        <item x="433"/>
        <item x="385"/>
        <item x="491"/>
        <item x="19"/>
        <item x="36"/>
        <item x="389"/>
        <item x="285"/>
        <item x="30"/>
        <item x="410"/>
        <item x="11"/>
        <item x="185"/>
        <item x="304"/>
        <item x="260"/>
        <item x="290"/>
        <item x="289"/>
        <item x="350"/>
        <item x="318"/>
        <item x="476"/>
        <item x="233"/>
        <item x="223"/>
        <item x="273"/>
        <item x="269"/>
        <item x="266"/>
        <item x="238"/>
        <item x="160"/>
        <item x="193"/>
        <item x="248"/>
        <item x="177"/>
        <item x="272"/>
        <item x="195"/>
        <item x="271"/>
        <item x="166"/>
        <item x="255"/>
        <item x="268"/>
        <item x="59"/>
        <item x="250"/>
        <item x="181"/>
        <item x="186"/>
        <item x="149"/>
        <item x="198"/>
        <item x="267"/>
        <item x="115"/>
        <item x="251"/>
        <item x="247"/>
        <item x="263"/>
        <item x="141"/>
        <item x="172"/>
        <item x="48"/>
        <item x="197"/>
        <item x="222"/>
        <item x="158"/>
        <item x="243"/>
        <item x="221"/>
        <item x="143"/>
        <item x="161"/>
        <item x="124"/>
        <item x="236"/>
        <item x="249"/>
        <item x="218"/>
        <item x="156"/>
        <item x="87"/>
        <item x="226"/>
        <item x="169"/>
        <item x="270"/>
        <item x="191"/>
        <item x="241"/>
        <item x="137"/>
        <item x="188"/>
        <item x="213"/>
        <item x="219"/>
        <item x="179"/>
        <item x="77"/>
        <item x="125"/>
        <item x="114"/>
        <item x="277"/>
        <item x="259"/>
        <item x="264"/>
        <item x="180"/>
        <item x="96"/>
        <item x="178"/>
        <item x="199"/>
        <item x="78"/>
        <item x="189"/>
        <item x="194"/>
        <item x="257"/>
        <item x="207"/>
        <item x="192"/>
        <item x="187"/>
        <item x="201"/>
        <item x="196"/>
        <item x="175"/>
        <item x="209"/>
        <item x="135"/>
        <item x="183"/>
        <item x="173"/>
        <item x="122"/>
        <item x="49"/>
        <item x="89"/>
        <item x="80"/>
        <item x="90"/>
        <item x="167"/>
        <item x="138"/>
        <item x="225"/>
        <item x="206"/>
        <item x="128"/>
        <item x="171"/>
        <item x="162"/>
        <item x="168"/>
        <item x="252"/>
        <item x="275"/>
        <item x="242"/>
        <item x="204"/>
        <item x="98"/>
        <item x="202"/>
        <item x="101"/>
        <item x="93"/>
        <item x="145"/>
        <item x="134"/>
        <item x="276"/>
        <item x="278"/>
        <item x="155"/>
        <item x="84"/>
        <item x="65"/>
        <item x="190"/>
        <item x="182"/>
        <item x="44"/>
        <item x="110"/>
        <item x="108"/>
        <item x="67"/>
        <item x="217"/>
        <item x="164"/>
        <item x="46"/>
        <item x="51"/>
        <item x="72"/>
        <item x="129"/>
        <item x="170"/>
        <item x="214"/>
        <item x="163"/>
        <item x="176"/>
        <item x="71"/>
        <item x="245"/>
        <item x="126"/>
        <item x="265"/>
        <item x="208"/>
        <item x="104"/>
        <item x="113"/>
        <item x="146"/>
        <item x="103"/>
        <item x="153"/>
        <item x="43"/>
        <item x="81"/>
        <item x="274"/>
        <item x="394"/>
        <item x="331"/>
        <item x="324"/>
        <item x="281"/>
        <item x="373"/>
        <item x="391"/>
        <item x="1"/>
        <item x="23"/>
        <item x="375"/>
        <item x="234"/>
        <item x="237"/>
        <item x="29"/>
        <item x="7"/>
        <item x="287"/>
        <item x="302"/>
        <item x="405"/>
        <item x="227"/>
        <item x="390"/>
        <item x="473"/>
        <item x="387"/>
        <item x="356"/>
        <item x="254"/>
        <item x="489"/>
        <item x="415"/>
        <item x="403"/>
        <item x="10"/>
        <item x="445"/>
        <item x="383"/>
        <item x="384"/>
        <item x="409"/>
        <item x="333"/>
        <item x="413"/>
        <item x="322"/>
        <item x="334"/>
        <item x="424"/>
        <item x="32"/>
        <item x="436"/>
        <item x="440"/>
        <item x="447"/>
        <item x="439"/>
        <item x="364"/>
        <item x="300"/>
        <item x="353"/>
        <item x="346"/>
        <item x="22"/>
        <item x="453"/>
        <item x="228"/>
        <item x="83"/>
        <item x="246"/>
        <item x="244"/>
        <item x="210"/>
        <item x="235"/>
        <item x="388"/>
        <item x="117"/>
        <item x="203"/>
        <item x="139"/>
        <item x="200"/>
        <item x="464"/>
        <item x="27"/>
        <item x="28"/>
        <item x="33"/>
        <item x="111"/>
        <item x="62"/>
        <item x="239"/>
        <item x="240"/>
        <item x="39"/>
        <item x="468"/>
        <item x="397"/>
        <item x="31"/>
        <item x="79"/>
        <item x="0"/>
        <item x="484"/>
        <item x="94"/>
        <item x="6"/>
        <item x="320"/>
        <item x="150"/>
        <item x="152"/>
        <item x="420"/>
        <item x="399"/>
        <item x="427"/>
        <item x="377"/>
        <item x="224"/>
        <item x="307"/>
        <item x="305"/>
        <item x="140"/>
        <item x="441"/>
        <item x="438"/>
        <item x="58"/>
        <item x="368"/>
        <item x="106"/>
        <item x="105"/>
        <item x="429"/>
        <item x="472"/>
        <item x="467"/>
        <item x="463"/>
        <item x="313"/>
        <item x="404"/>
        <item x="253"/>
        <item x="64"/>
        <item x="3"/>
        <item x="308"/>
        <item x="107"/>
        <item x="60"/>
        <item x="358"/>
        <item x="349"/>
        <item x="316"/>
        <item x="493"/>
        <item x="338"/>
        <item x="215"/>
        <item x="446"/>
        <item x="220"/>
        <item x="95"/>
        <item x="17"/>
        <item x="35"/>
        <item x="288"/>
        <item x="147"/>
        <item x="306"/>
        <item x="317"/>
        <item x="310"/>
        <item x="471"/>
        <item x="309"/>
        <item x="311"/>
        <item x="97"/>
        <item x="314"/>
        <item x="319"/>
        <item x="74"/>
        <item x="344"/>
        <item x="355"/>
        <item x="352"/>
        <item x="323"/>
        <item x="478"/>
        <item x="431"/>
        <item x="9"/>
        <item x="411"/>
        <item x="55"/>
        <item x="452"/>
        <item x="299"/>
        <item x="386"/>
        <item x="396"/>
        <item x="401"/>
        <item x="475"/>
        <item x="487"/>
        <item x="37"/>
        <item x="76"/>
        <item x="312"/>
        <item x="50"/>
        <item x="100"/>
        <item x="184"/>
        <item x="24"/>
        <item x="130"/>
        <item x="132"/>
        <item x="102"/>
        <item x="481"/>
        <item x="485"/>
        <item x="459"/>
        <item x="430"/>
        <item x="376"/>
        <item x="425"/>
        <item x="477"/>
        <item x="421"/>
        <item x="492"/>
        <item x="488"/>
        <item x="432"/>
        <item x="261"/>
        <item x="392"/>
        <item x="339"/>
        <item x="231"/>
        <item x="348"/>
        <item x="365"/>
        <item x="347"/>
        <item x="366"/>
        <item x="53"/>
        <item x="165"/>
        <item x="315"/>
        <item x="16"/>
        <item x="13"/>
        <item x="332"/>
        <item x="337"/>
        <item x="402"/>
        <item x="450"/>
        <item x="400"/>
        <item x="15"/>
        <item x="82"/>
        <item x="41"/>
        <item x="449"/>
        <item x="370"/>
        <item x="157"/>
        <item x="119"/>
        <item x="73"/>
        <item x="428"/>
        <item x="133"/>
        <item x="457"/>
        <item x="66"/>
        <item x="258"/>
        <item x="408"/>
        <item x="407"/>
        <item x="340"/>
        <item x="4"/>
        <item x="336"/>
        <item x="490"/>
        <item x="378"/>
        <item x="120"/>
        <item x="88"/>
        <item x="371"/>
        <item x="56"/>
        <item x="326"/>
        <item x="296"/>
        <item x="211"/>
        <item x="280"/>
        <item x="91"/>
        <item x="469"/>
        <item x="483"/>
        <item x="292"/>
        <item x="301"/>
        <item x="456"/>
        <item x="437"/>
        <item x="434"/>
        <item x="345"/>
        <item x="327"/>
        <item x="374"/>
        <item x="40"/>
        <item x="354"/>
        <item x="343"/>
        <item x="284"/>
        <item x="328"/>
        <item x="360"/>
        <item x="341"/>
        <item x="361"/>
        <item x="321"/>
        <item x="109"/>
        <item x="325"/>
        <item x="154"/>
        <item x="212"/>
        <item x="230"/>
        <item x="291"/>
        <item x="426"/>
        <item x="216"/>
        <item x="423"/>
        <item x="174"/>
        <item x="18"/>
        <item x="330"/>
        <item x="151"/>
        <item x="480"/>
        <item x="34"/>
        <item x="395"/>
        <item x="451"/>
        <item x="12"/>
        <item x="443"/>
        <item x="448"/>
        <item x="86"/>
        <item x="359"/>
        <item x="229"/>
        <item x="8"/>
        <item t="default"/>
      </items>
    </pivotField>
    <pivotField showAll="0"/>
    <pivotField showAll="0">
      <items count="5">
        <item x="0"/>
        <item x="2"/>
        <item x="1"/>
        <item x="3"/>
        <item t="default"/>
      </items>
    </pivotField>
    <pivotField numFmtId="14" showAll="0">
      <items count="15">
        <item x="0"/>
        <item x="1"/>
        <item x="2"/>
        <item x="3"/>
        <item x="4"/>
        <item x="5"/>
        <item x="6"/>
        <item x="7"/>
        <item x="8"/>
        <item x="9"/>
        <item x="10"/>
        <item x="11"/>
        <item x="12"/>
        <item x="13"/>
        <item t="default"/>
      </items>
    </pivotField>
    <pivotField axis="axisRow" numFmtId="166" showAll="0">
      <items count="48">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 showAll="0"/>
    <pivotField numFmtId="1" showAll="0"/>
    <pivotField numFmtId="2" showAll="0"/>
    <pivotField dataField="1" numFmtId="1" showAll="0">
      <items count="38">
        <item x="0"/>
        <item x="2"/>
        <item x="1"/>
        <item x="3"/>
        <item x="4"/>
        <item x="6"/>
        <item x="9"/>
        <item x="5"/>
        <item x="8"/>
        <item x="10"/>
        <item x="11"/>
        <item x="7"/>
        <item x="13"/>
        <item x="12"/>
        <item x="17"/>
        <item x="14"/>
        <item x="15"/>
        <item x="29"/>
        <item x="30"/>
        <item x="16"/>
        <item x="18"/>
        <item x="22"/>
        <item x="20"/>
        <item x="19"/>
        <item x="28"/>
        <item x="31"/>
        <item x="23"/>
        <item x="21"/>
        <item x="27"/>
        <item x="24"/>
        <item x="26"/>
        <item x="25"/>
        <item x="34"/>
        <item x="33"/>
        <item x="36"/>
        <item x="32"/>
        <item x="35"/>
        <item t="default"/>
      </items>
    </pivotField>
    <pivotField showAll="0"/>
    <pivotField numFmtId="1" showAll="0"/>
    <pivotField numFmtId="2" showAll="0"/>
    <pivotField showAll="0" defaultSubtotal="0">
      <items count="10">
        <item x="0"/>
        <item x="1"/>
        <item x="2"/>
        <item x="3"/>
        <item x="4"/>
        <item x="5"/>
        <item x="6"/>
        <item x="7"/>
        <item x="8"/>
        <item x="9"/>
      </items>
    </pivotField>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Subscribers" fld="9" baseField="0" baseItem="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5" count="1" selected="0">
            <x v="35"/>
          </reference>
        </references>
      </pivotArea>
    </chartFormat>
    <chartFormat chart="0" format="4">
      <pivotArea type="data" outline="0" fieldPosition="0">
        <references count="2">
          <reference field="4294967294" count="1" selected="0">
            <x v="0"/>
          </reference>
          <reference field="5" count="1" selected="0">
            <x v="36"/>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35"/>
          </reference>
        </references>
      </pivotArea>
    </chartFormat>
    <chartFormat chart="4" format="10">
      <pivotArea type="data" outline="0" fieldPosition="0">
        <references count="2">
          <reference field="4294967294" count="1" selected="0">
            <x v="0"/>
          </reference>
          <reference field="5" count="1" selected="0">
            <x v="3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A3:B11" firstHeaderRow="1" firstDataRow="1" firstDataCol="1"/>
  <pivotFields count="4">
    <pivotField axis="axisRow" showAll="0">
      <items count="8">
        <item x="6"/>
        <item x="5"/>
        <item x="4"/>
        <item x="3"/>
        <item x="2"/>
        <item x="1"/>
        <item x="0"/>
        <item t="default"/>
      </items>
    </pivotField>
    <pivotField showAll="0"/>
    <pivotField dataField="1" numFmtId="10" showAll="0"/>
    <pivotField numFmtId="10" showAll="0"/>
  </pivotFields>
  <rowFields count="1">
    <field x="0"/>
  </rowFields>
  <rowItems count="8">
    <i>
      <x/>
    </i>
    <i>
      <x v="1"/>
    </i>
    <i>
      <x v="2"/>
    </i>
    <i>
      <x v="3"/>
    </i>
    <i>
      <x v="4"/>
    </i>
    <i>
      <x v="5"/>
    </i>
    <i>
      <x v="6"/>
    </i>
    <i t="grand">
      <x/>
    </i>
  </rowItems>
  <colItems count="1">
    <i/>
  </colItems>
  <dataFields count="1">
    <dataField name="Sum of Views (%)" fld="2" baseField="0" baseItem="0" numFmtId="10"/>
  </dataFields>
  <formats count="1">
    <format dxfId="0">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2" format="6">
      <pivotArea type="data" outline="0" fieldPosition="0">
        <references count="2">
          <reference field="4294967294" count="1" selected="0">
            <x v="0"/>
          </reference>
          <reference field="0" count="1" selected="0">
            <x v="5"/>
          </reference>
        </references>
      </pivotArea>
    </chartFormat>
    <chartFormat chart="2" format="7">
      <pivotArea type="data" outline="0" fieldPosition="0">
        <references count="2">
          <reference field="4294967294" count="1" selected="0">
            <x v="0"/>
          </reference>
          <reference field="0" count="1" selected="0">
            <x v="6"/>
          </reference>
        </references>
      </pivotArea>
    </chartFormat>
    <chartFormat chart="5" format="3">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_Category" sourceName="Date Category">
  <pivotTables>
    <pivotTable tabId="12" name="PivotTable1"/>
    <pivotTable tabId="20" name="PivotTable5"/>
    <pivotTable tabId="9" name="PivotTable3"/>
    <pivotTable tabId="19" name="PivotTable4"/>
    <pivotTable tabId="15" name="PivotTable3"/>
    <pivotTable tabId="11" name="PivotTable5"/>
    <pivotTable tabId="7" name="PivotTable3"/>
    <pivotTable tabId="8" name="PivotTable3"/>
  </pivotTables>
  <data>
    <tabular pivotCacheId="1">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Video_Title" sourceName="Video Title">
  <pivotTables>
    <pivotTable tabId="15" name="PivotTable3"/>
    <pivotTable tabId="20" name="PivotTable5"/>
    <pivotTable tabId="12" name="PivotTable1"/>
    <pivotTable tabId="9" name="PivotTable3"/>
    <pivotTable tabId="19" name="PivotTable4"/>
    <pivotTable tabId="11" name="PivotTable5"/>
    <pivotTable tabId="7" name="PivotTable3"/>
    <pivotTable tabId="8" name="PivotTable3"/>
  </pivotTables>
  <data>
    <tabular pivotCacheId="1">
      <items count="494">
        <i x="131" s="1"/>
        <i x="351" s="1"/>
        <i x="142" s="1"/>
        <i x="256" s="1"/>
        <i x="25" s="1"/>
        <i x="61" s="1"/>
        <i x="69" s="1"/>
        <i x="63" s="1"/>
        <i x="70" s="1"/>
        <i x="205" s="1"/>
        <i x="52" s="1"/>
        <i x="68" s="1"/>
        <i x="232" s="1"/>
        <i x="342" s="1"/>
        <i x="144" s="1"/>
        <i x="479" s="1"/>
        <i x="20" s="1"/>
        <i x="75" s="1"/>
        <i x="47" s="1"/>
        <i x="435" s="1"/>
        <i x="466" s="1"/>
        <i x="482" s="1"/>
        <i x="442" s="1"/>
        <i x="54" s="1"/>
        <i x="369" s="1"/>
        <i x="460" s="1"/>
        <i x="455" s="1"/>
        <i x="38" s="1"/>
        <i x="116" s="1"/>
        <i x="418" s="1"/>
        <i x="2" s="1"/>
        <i x="127" s="1"/>
        <i x="335" s="1"/>
        <i x="406" s="1"/>
        <i x="412" s="1"/>
        <i x="470" s="1"/>
        <i x="380" s="1"/>
        <i x="121" s="1"/>
        <i x="454" s="1"/>
        <i x="474" s="1"/>
        <i x="461" s="1"/>
        <i x="486" s="1"/>
        <i x="444" s="1"/>
        <i x="57" s="1"/>
        <i x="293" s="1"/>
        <i x="21" s="1"/>
        <i x="419" s="1"/>
        <i x="279" s="1"/>
        <i x="286" s="1"/>
        <i x="5" s="1"/>
        <i x="45" s="1"/>
        <i x="85" s="1"/>
        <i x="92" s="1"/>
        <i x="14" s="1"/>
        <i x="112" s="1"/>
        <i x="42" s="1"/>
        <i x="458" s="1"/>
        <i x="462" s="1"/>
        <i x="417" s="1"/>
        <i x="416" s="1"/>
        <i x="99" s="1"/>
        <i x="382" s="1"/>
        <i x="414" s="1"/>
        <i x="294" s="1"/>
        <i x="297" s="1"/>
        <i x="379" s="1"/>
        <i x="381" s="1"/>
        <i x="357" s="1"/>
        <i x="136" s="1"/>
        <i x="26" s="1"/>
        <i x="262" s="1"/>
        <i x="398" s="1"/>
        <i x="329" s="1"/>
        <i x="118" s="1"/>
        <i x="422" s="1"/>
        <i x="123" s="1"/>
        <i x="295" s="1"/>
        <i x="393" s="1"/>
        <i x="298" s="1"/>
        <i x="303" s="1"/>
        <i x="372" s="1"/>
        <i x="283" s="1"/>
        <i x="148" s="1"/>
        <i x="282" s="1"/>
        <i x="159" s="1"/>
        <i x="465" s="1"/>
        <i x="363" s="1"/>
        <i x="362" s="1"/>
        <i x="367" s="1"/>
        <i x="433" s="1"/>
        <i x="385" s="1"/>
        <i x="491" s="1"/>
        <i x="19" s="1"/>
        <i x="36" s="1"/>
        <i x="389" s="1"/>
        <i x="285" s="1"/>
        <i x="30" s="1"/>
        <i x="410" s="1"/>
        <i x="11" s="1"/>
        <i x="185" s="1"/>
        <i x="304" s="1"/>
        <i x="260" s="1"/>
        <i x="290" s="1"/>
        <i x="289" s="1"/>
        <i x="350" s="1"/>
        <i x="318" s="1"/>
        <i x="476" s="1"/>
        <i x="233" s="1"/>
        <i x="223" s="1"/>
        <i x="273" s="1"/>
        <i x="269" s="1"/>
        <i x="266" s="1"/>
        <i x="238" s="1"/>
        <i x="160" s="1"/>
        <i x="193" s="1"/>
        <i x="248" s="1"/>
        <i x="177" s="1"/>
        <i x="272" s="1"/>
        <i x="195" s="1"/>
        <i x="271" s="1"/>
        <i x="166" s="1"/>
        <i x="255" s="1"/>
        <i x="268" s="1"/>
        <i x="59" s="1"/>
        <i x="250" s="1"/>
        <i x="181" s="1"/>
        <i x="186" s="1"/>
        <i x="149" s="1"/>
        <i x="198" s="1"/>
        <i x="267" s="1"/>
        <i x="115" s="1"/>
        <i x="251" s="1"/>
        <i x="247" s="1"/>
        <i x="263" s="1"/>
        <i x="141" s="1"/>
        <i x="172" s="1"/>
        <i x="48" s="1"/>
        <i x="197" s="1"/>
        <i x="222" s="1"/>
        <i x="158" s="1"/>
        <i x="243" s="1"/>
        <i x="221" s="1"/>
        <i x="143" s="1"/>
        <i x="161" s="1"/>
        <i x="124" s="1"/>
        <i x="236" s="1"/>
        <i x="249" s="1"/>
        <i x="218" s="1"/>
        <i x="156" s="1"/>
        <i x="87" s="1"/>
        <i x="226" s="1"/>
        <i x="169" s="1"/>
        <i x="270" s="1"/>
        <i x="191" s="1"/>
        <i x="241" s="1"/>
        <i x="137" s="1"/>
        <i x="188" s="1"/>
        <i x="213" s="1"/>
        <i x="219" s="1"/>
        <i x="179" s="1"/>
        <i x="77" s="1"/>
        <i x="125" s="1"/>
        <i x="114" s="1"/>
        <i x="277" s="1"/>
        <i x="259" s="1"/>
        <i x="264" s="1"/>
        <i x="180" s="1"/>
        <i x="96" s="1"/>
        <i x="178" s="1"/>
        <i x="199" s="1"/>
        <i x="78" s="1"/>
        <i x="189" s="1"/>
        <i x="194" s="1"/>
        <i x="257" s="1"/>
        <i x="207" s="1"/>
        <i x="192" s="1"/>
        <i x="187" s="1"/>
        <i x="201" s="1"/>
        <i x="196" s="1"/>
        <i x="175" s="1"/>
        <i x="209" s="1"/>
        <i x="135" s="1"/>
        <i x="183" s="1"/>
        <i x="173" s="1"/>
        <i x="122" s="1"/>
        <i x="49" s="1"/>
        <i x="89" s="1"/>
        <i x="80" s="1"/>
        <i x="90" s="1"/>
        <i x="167" s="1"/>
        <i x="138" s="1"/>
        <i x="225" s="1"/>
        <i x="206" s="1"/>
        <i x="128" s="1"/>
        <i x="171" s="1"/>
        <i x="162" s="1"/>
        <i x="168" s="1"/>
        <i x="252" s="1"/>
        <i x="275" s="1"/>
        <i x="242" s="1"/>
        <i x="204" s="1"/>
        <i x="98" s="1"/>
        <i x="202" s="1"/>
        <i x="101" s="1"/>
        <i x="93" s="1"/>
        <i x="145" s="1"/>
        <i x="134" s="1"/>
        <i x="276" s="1"/>
        <i x="278" s="1"/>
        <i x="155" s="1"/>
        <i x="84" s="1"/>
        <i x="65" s="1"/>
        <i x="190" s="1"/>
        <i x="182" s="1"/>
        <i x="44" s="1"/>
        <i x="110" s="1"/>
        <i x="108" s="1"/>
        <i x="67" s="1"/>
        <i x="217" s="1"/>
        <i x="164" s="1"/>
        <i x="46" s="1"/>
        <i x="51" s="1"/>
        <i x="72" s="1"/>
        <i x="129" s="1"/>
        <i x="170" s="1"/>
        <i x="214" s="1"/>
        <i x="163" s="1"/>
        <i x="176" s="1"/>
        <i x="71" s="1"/>
        <i x="245" s="1"/>
        <i x="126" s="1"/>
        <i x="265" s="1"/>
        <i x="208" s="1"/>
        <i x="104" s="1"/>
        <i x="113" s="1"/>
        <i x="146" s="1"/>
        <i x="103" s="1"/>
        <i x="153" s="1"/>
        <i x="43" s="1"/>
        <i x="81" s="1"/>
        <i x="274" s="1"/>
        <i x="394" s="1"/>
        <i x="331" s="1"/>
        <i x="324" s="1"/>
        <i x="281" s="1"/>
        <i x="373" s="1"/>
        <i x="391" s="1"/>
        <i x="1" s="1"/>
        <i x="23" s="1"/>
        <i x="375" s="1"/>
        <i x="234" s="1"/>
        <i x="237" s="1"/>
        <i x="29" s="1"/>
        <i x="7" s="1"/>
        <i x="287" s="1"/>
        <i x="302" s="1"/>
        <i x="405" s="1"/>
        <i x="227" s="1"/>
        <i x="390" s="1"/>
        <i x="473" s="1"/>
        <i x="387" s="1"/>
        <i x="356" s="1"/>
        <i x="254" s="1"/>
        <i x="489" s="1"/>
        <i x="415" s="1"/>
        <i x="403" s="1"/>
        <i x="10" s="1"/>
        <i x="445" s="1"/>
        <i x="383" s="1"/>
        <i x="384" s="1"/>
        <i x="409" s="1"/>
        <i x="333" s="1"/>
        <i x="413" s="1"/>
        <i x="322" s="1"/>
        <i x="334" s="1"/>
        <i x="424" s="1"/>
        <i x="32" s="1"/>
        <i x="436" s="1"/>
        <i x="440" s="1"/>
        <i x="447" s="1"/>
        <i x="439" s="1"/>
        <i x="364" s="1"/>
        <i x="300" s="1"/>
        <i x="353" s="1"/>
        <i x="346" s="1"/>
        <i x="22" s="1"/>
        <i x="453" s="1"/>
        <i x="228" s="1"/>
        <i x="83" s="1"/>
        <i x="246" s="1"/>
        <i x="244" s="1"/>
        <i x="210" s="1"/>
        <i x="235" s="1"/>
        <i x="388" s="1"/>
        <i x="117" s="1"/>
        <i x="203" s="1"/>
        <i x="139" s="1"/>
        <i x="200" s="1"/>
        <i x="464" s="1"/>
        <i x="27" s="1"/>
        <i x="28" s="1"/>
        <i x="33" s="1"/>
        <i x="111" s="1"/>
        <i x="62" s="1"/>
        <i x="239" s="1"/>
        <i x="240" s="1"/>
        <i x="39" s="1"/>
        <i x="468" s="1"/>
        <i x="397" s="1"/>
        <i x="31" s="1"/>
        <i x="79" s="1"/>
        <i x="0" s="1"/>
        <i x="484" s="1"/>
        <i x="94" s="1"/>
        <i x="6" s="1"/>
        <i x="320" s="1"/>
        <i x="150" s="1"/>
        <i x="152" s="1"/>
        <i x="420" s="1"/>
        <i x="399" s="1"/>
        <i x="427" s="1"/>
        <i x="377" s="1"/>
        <i x="224" s="1"/>
        <i x="307" s="1"/>
        <i x="305" s="1"/>
        <i x="140" s="1"/>
        <i x="441" s="1"/>
        <i x="438" s="1"/>
        <i x="58" s="1"/>
        <i x="368" s="1"/>
        <i x="106" s="1"/>
        <i x="105" s="1"/>
        <i x="429" s="1"/>
        <i x="472" s="1"/>
        <i x="467" s="1"/>
        <i x="463" s="1"/>
        <i x="313" s="1"/>
        <i x="404" s="1"/>
        <i x="253" s="1"/>
        <i x="64" s="1"/>
        <i x="3" s="1"/>
        <i x="308" s="1"/>
        <i x="107" s="1"/>
        <i x="60" s="1"/>
        <i x="358" s="1"/>
        <i x="349" s="1"/>
        <i x="316" s="1"/>
        <i x="493" s="1"/>
        <i x="338" s="1"/>
        <i x="215" s="1"/>
        <i x="446" s="1"/>
        <i x="220" s="1"/>
        <i x="95" s="1"/>
        <i x="17" s="1"/>
        <i x="35" s="1"/>
        <i x="288" s="1"/>
        <i x="147" s="1"/>
        <i x="306" s="1"/>
        <i x="317" s="1"/>
        <i x="310" s="1"/>
        <i x="471" s="1"/>
        <i x="309" s="1"/>
        <i x="311" s="1"/>
        <i x="97" s="1"/>
        <i x="314" s="1"/>
        <i x="319" s="1"/>
        <i x="74" s="1"/>
        <i x="344" s="1"/>
        <i x="355" s="1"/>
        <i x="352" s="1"/>
        <i x="323" s="1"/>
        <i x="478" s="1"/>
        <i x="431" s="1"/>
        <i x="9" s="1"/>
        <i x="411" s="1"/>
        <i x="55" s="1"/>
        <i x="452" s="1"/>
        <i x="299" s="1"/>
        <i x="386" s="1"/>
        <i x="396" s="1"/>
        <i x="401" s="1"/>
        <i x="475" s="1"/>
        <i x="487" s="1"/>
        <i x="37" s="1"/>
        <i x="76" s="1"/>
        <i x="312" s="1"/>
        <i x="50" s="1"/>
        <i x="100" s="1"/>
        <i x="184" s="1"/>
        <i x="24" s="1"/>
        <i x="130" s="1"/>
        <i x="132" s="1"/>
        <i x="102" s="1"/>
        <i x="481" s="1"/>
        <i x="485" s="1"/>
        <i x="459" s="1"/>
        <i x="430" s="1"/>
        <i x="376" s="1"/>
        <i x="425" s="1"/>
        <i x="477" s="1"/>
        <i x="421" s="1"/>
        <i x="492" s="1"/>
        <i x="488" s="1"/>
        <i x="432" s="1"/>
        <i x="261" s="1"/>
        <i x="392" s="1"/>
        <i x="339" s="1"/>
        <i x="231" s="1"/>
        <i x="348" s="1"/>
        <i x="365" s="1"/>
        <i x="347" s="1"/>
        <i x="366" s="1"/>
        <i x="53" s="1"/>
        <i x="165" s="1"/>
        <i x="315" s="1"/>
        <i x="16" s="1"/>
        <i x="13" s="1"/>
        <i x="332" s="1"/>
        <i x="337" s="1"/>
        <i x="402" s="1"/>
        <i x="450" s="1"/>
        <i x="400" s="1"/>
        <i x="15" s="1"/>
        <i x="82" s="1"/>
        <i x="41" s="1"/>
        <i x="449" s="1"/>
        <i x="370" s="1"/>
        <i x="157" s="1"/>
        <i x="119" s="1"/>
        <i x="73" s="1"/>
        <i x="428" s="1"/>
        <i x="133" s="1"/>
        <i x="457" s="1"/>
        <i x="66" s="1"/>
        <i x="258" s="1"/>
        <i x="408" s="1"/>
        <i x="407" s="1"/>
        <i x="340" s="1"/>
        <i x="4" s="1"/>
        <i x="336" s="1"/>
        <i x="490" s="1"/>
        <i x="378" s="1"/>
        <i x="120" s="1"/>
        <i x="88" s="1"/>
        <i x="371" s="1"/>
        <i x="56" s="1"/>
        <i x="326" s="1"/>
        <i x="296" s="1"/>
        <i x="211" s="1"/>
        <i x="280" s="1"/>
        <i x="91" s="1"/>
        <i x="469" s="1"/>
        <i x="483" s="1"/>
        <i x="292" s="1"/>
        <i x="301" s="1"/>
        <i x="456" s="1"/>
        <i x="437" s="1"/>
        <i x="434" s="1"/>
        <i x="345" s="1"/>
        <i x="327" s="1"/>
        <i x="374" s="1"/>
        <i x="40" s="1"/>
        <i x="354" s="1"/>
        <i x="343" s="1"/>
        <i x="284" s="1"/>
        <i x="328" s="1"/>
        <i x="360" s="1"/>
        <i x="341" s="1"/>
        <i x="361" s="1"/>
        <i x="321" s="1"/>
        <i x="109" s="1"/>
        <i x="325" s="1"/>
        <i x="154" s="1"/>
        <i x="212" s="1"/>
        <i x="230" s="1"/>
        <i x="291" s="1"/>
        <i x="426" s="1"/>
        <i x="216" s="1"/>
        <i x="423" s="1"/>
        <i x="174" s="1"/>
        <i x="18" s="1"/>
        <i x="330" s="1"/>
        <i x="151" s="1"/>
        <i x="480" s="1"/>
        <i x="34" s="1"/>
        <i x="395" s="1"/>
        <i x="451" s="1"/>
        <i x="12" s="1"/>
        <i x="443" s="1"/>
        <i x="448" s="1"/>
        <i x="86" s="1"/>
        <i x="359" s="1"/>
        <i x="22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tegory" cache="Slicer_Date_Category" caption="Date Category" rowHeight="241300"/>
  <slicer name="Video Title" cache="Slicer_Video_Title" caption="Video Title" startItem="24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Video_Publish_Date" sourceName="Video Publish Date">
  <pivotTables>
    <pivotTable tabId="8" name="PivotTable3"/>
    <pivotTable tabId="9" name="PivotTable3"/>
    <pivotTable tabId="11" name="PivotTable5"/>
    <pivotTable tabId="7" name="PivotTable3"/>
  </pivotTables>
  <state minimalRefreshVersion="6" lastRefreshVersion="6" pivotCacheId="1" filterType="unknown">
    <bounds startDate="2019-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Video Publish Date" cache="NativeTimeline_Video_Publish_Date" caption="Video Publish Date" level="2" selectionLevel="2" scrollPosition="2021-11-0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zoomScale="118" workbookViewId="0">
      <selection activeCell="I5" sqref="I5"/>
    </sheetView>
  </sheetViews>
  <sheetFormatPr defaultRowHeight="14.5" x14ac:dyDescent="0.35"/>
  <cols>
    <col min="1" max="1" width="12.36328125" customWidth="1"/>
    <col min="2" max="2" width="28.1796875" customWidth="1"/>
    <col min="3" max="3" width="12.08984375" customWidth="1"/>
    <col min="4" max="4" width="11.08984375" customWidth="1"/>
    <col min="5" max="5" width="7.08984375" customWidth="1"/>
    <col min="6" max="6" width="10.7265625" bestFit="1" customWidth="1"/>
  </cols>
  <sheetData>
    <row r="3" spans="1:2" x14ac:dyDescent="0.35">
      <c r="A3" s="15" t="s">
        <v>1012</v>
      </c>
      <c r="B3" t="s">
        <v>1026</v>
      </c>
    </row>
    <row r="4" spans="1:2" x14ac:dyDescent="0.35">
      <c r="A4" s="17" t="s">
        <v>1021</v>
      </c>
      <c r="B4" s="16">
        <v>2</v>
      </c>
    </row>
    <row r="5" spans="1:2" x14ac:dyDescent="0.35">
      <c r="A5" s="17" t="s">
        <v>1023</v>
      </c>
      <c r="B5" s="16">
        <v>77</v>
      </c>
    </row>
    <row r="6" spans="1:2" x14ac:dyDescent="0.35">
      <c r="A6" s="17" t="s">
        <v>1022</v>
      </c>
      <c r="B6" s="16">
        <v>246</v>
      </c>
    </row>
    <row r="7" spans="1:2" x14ac:dyDescent="0.35">
      <c r="A7" s="17" t="s">
        <v>1024</v>
      </c>
      <c r="B7" s="16">
        <v>172</v>
      </c>
    </row>
    <row r="8" spans="1:2" x14ac:dyDescent="0.35">
      <c r="A8" s="17" t="s">
        <v>1013</v>
      </c>
      <c r="B8" s="16">
        <v>497</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zoomScale="118" workbookViewId="0">
      <selection activeCell="H6" sqref="H6"/>
    </sheetView>
  </sheetViews>
  <sheetFormatPr defaultRowHeight="14.5" x14ac:dyDescent="0.35"/>
  <cols>
    <col min="1" max="1" width="12.36328125" customWidth="1"/>
    <col min="2" max="2" width="23.81640625" customWidth="1"/>
    <col min="3" max="3" width="12.08984375" customWidth="1"/>
    <col min="4" max="4" width="11.08984375" customWidth="1"/>
    <col min="5" max="5" width="7.08984375" customWidth="1"/>
    <col min="6" max="6" width="10.7265625" bestFit="1" customWidth="1"/>
  </cols>
  <sheetData>
    <row r="3" spans="1:2" x14ac:dyDescent="0.35">
      <c r="A3" s="15" t="s">
        <v>1012</v>
      </c>
      <c r="B3" t="s">
        <v>1025</v>
      </c>
    </row>
    <row r="4" spans="1:2" x14ac:dyDescent="0.35">
      <c r="A4" s="17" t="s">
        <v>1021</v>
      </c>
      <c r="B4" s="16">
        <v>3.2650999999999999</v>
      </c>
    </row>
    <row r="5" spans="1:2" x14ac:dyDescent="0.35">
      <c r="A5" s="17" t="s">
        <v>1023</v>
      </c>
      <c r="B5" s="16">
        <v>674.96029999999996</v>
      </c>
    </row>
    <row r="6" spans="1:2" x14ac:dyDescent="0.35">
      <c r="A6" s="17" t="s">
        <v>1022</v>
      </c>
      <c r="B6" s="16">
        <v>4722.9914000000044</v>
      </c>
    </row>
    <row r="7" spans="1:2" x14ac:dyDescent="0.35">
      <c r="A7" s="17" t="s">
        <v>1024</v>
      </c>
      <c r="B7" s="16">
        <v>3425.5701000000004</v>
      </c>
    </row>
    <row r="8" spans="1:2" x14ac:dyDescent="0.35">
      <c r="A8" s="17" t="s">
        <v>1013</v>
      </c>
      <c r="B8" s="16">
        <v>8826.7869000000046</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zoomScale="118" workbookViewId="0">
      <selection activeCell="A15" sqref="A15"/>
    </sheetView>
  </sheetViews>
  <sheetFormatPr defaultRowHeight="14.5" x14ac:dyDescent="0.35"/>
  <cols>
    <col min="1" max="1" width="12.36328125" bestFit="1" customWidth="1"/>
    <col min="2" max="2" width="12" customWidth="1"/>
    <col min="3" max="3" width="12.08984375" customWidth="1"/>
    <col min="4" max="4" width="11.08984375" customWidth="1"/>
    <col min="5" max="5" width="7.08984375" customWidth="1"/>
    <col min="6" max="6" width="10.7265625" bestFit="1" customWidth="1"/>
  </cols>
  <sheetData>
    <row r="3" spans="1:2" x14ac:dyDescent="0.35">
      <c r="A3" s="15" t="s">
        <v>1012</v>
      </c>
      <c r="B3" t="s">
        <v>1015</v>
      </c>
    </row>
    <row r="4" spans="1:2" x14ac:dyDescent="0.35">
      <c r="A4" s="17" t="s">
        <v>1021</v>
      </c>
      <c r="B4" s="16">
        <v>1699</v>
      </c>
    </row>
    <row r="5" spans="1:2" x14ac:dyDescent="0.35">
      <c r="A5" s="17" t="s">
        <v>1023</v>
      </c>
      <c r="B5" s="16">
        <v>129637</v>
      </c>
    </row>
    <row r="6" spans="1:2" x14ac:dyDescent="0.35">
      <c r="A6" s="17" t="s">
        <v>1022</v>
      </c>
      <c r="B6" s="16">
        <v>427942</v>
      </c>
    </row>
    <row r="7" spans="1:2" x14ac:dyDescent="0.35">
      <c r="A7" s="17" t="s">
        <v>1024</v>
      </c>
      <c r="B7" s="16">
        <v>409158</v>
      </c>
    </row>
    <row r="8" spans="1:2" x14ac:dyDescent="0.35">
      <c r="A8" s="17" t="s">
        <v>1013</v>
      </c>
      <c r="B8" s="16">
        <v>968436</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D15" sqref="D15"/>
    </sheetView>
  </sheetViews>
  <sheetFormatPr defaultRowHeight="14.5" x14ac:dyDescent="0.35"/>
  <cols>
    <col min="1" max="1" width="12.36328125" bestFit="1" customWidth="1"/>
    <col min="2" max="2" width="16.7265625" bestFit="1" customWidth="1"/>
  </cols>
  <sheetData>
    <row r="3" spans="1:2" x14ac:dyDescent="0.35">
      <c r="A3" s="15" t="s">
        <v>1012</v>
      </c>
      <c r="B3" t="s">
        <v>1014</v>
      </c>
    </row>
    <row r="4" spans="1:2" x14ac:dyDescent="0.35">
      <c r="A4" s="17" t="s">
        <v>1021</v>
      </c>
      <c r="B4" s="16">
        <v>0</v>
      </c>
    </row>
    <row r="5" spans="1:2" x14ac:dyDescent="0.35">
      <c r="A5" s="17" t="s">
        <v>1022</v>
      </c>
      <c r="B5" s="16">
        <v>1559</v>
      </c>
    </row>
    <row r="6" spans="1:2" x14ac:dyDescent="0.35">
      <c r="A6" s="17" t="s">
        <v>1023</v>
      </c>
      <c r="B6" s="16">
        <v>60</v>
      </c>
    </row>
    <row r="7" spans="1:2" x14ac:dyDescent="0.35">
      <c r="A7" s="17" t="s">
        <v>1024</v>
      </c>
      <c r="B7" s="16">
        <v>666</v>
      </c>
    </row>
    <row r="8" spans="1:2" x14ac:dyDescent="0.35">
      <c r="A8" s="17" t="s">
        <v>1013</v>
      </c>
      <c r="B8" s="16">
        <v>2285</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1"/>
  <sheetViews>
    <sheetView zoomScale="89" zoomScaleNormal="100" workbookViewId="0">
      <selection activeCell="N8" sqref="N8"/>
    </sheetView>
  </sheetViews>
  <sheetFormatPr defaultRowHeight="14.5" x14ac:dyDescent="0.35"/>
  <cols>
    <col min="1" max="1" width="13.08984375" bestFit="1" customWidth="1"/>
    <col min="2" max="2" width="12.453125" bestFit="1" customWidth="1"/>
  </cols>
  <sheetData>
    <row r="3" spans="1:2" x14ac:dyDescent="0.35">
      <c r="A3" s="15" t="s">
        <v>1012</v>
      </c>
      <c r="B3" t="s">
        <v>1015</v>
      </c>
    </row>
    <row r="4" spans="1:2" x14ac:dyDescent="0.35">
      <c r="A4" s="24">
        <v>43799</v>
      </c>
      <c r="B4" s="16">
        <v>1249</v>
      </c>
    </row>
    <row r="5" spans="1:2" x14ac:dyDescent="0.35">
      <c r="A5" s="24">
        <v>43830</v>
      </c>
      <c r="B5" s="16">
        <v>3156</v>
      </c>
    </row>
    <row r="6" spans="1:2" x14ac:dyDescent="0.35">
      <c r="A6" s="24">
        <v>43861</v>
      </c>
      <c r="B6" s="16">
        <v>1764</v>
      </c>
    </row>
    <row r="7" spans="1:2" x14ac:dyDescent="0.35">
      <c r="A7" s="24">
        <v>43890</v>
      </c>
      <c r="B7" s="16">
        <v>1895</v>
      </c>
    </row>
    <row r="8" spans="1:2" x14ac:dyDescent="0.35">
      <c r="A8" s="24">
        <v>44651</v>
      </c>
      <c r="B8" s="16">
        <v>1719</v>
      </c>
    </row>
    <row r="9" spans="1:2" x14ac:dyDescent="0.35">
      <c r="A9" s="24">
        <v>44712</v>
      </c>
      <c r="B9" s="16">
        <v>715</v>
      </c>
    </row>
    <row r="10" spans="1:2" x14ac:dyDescent="0.35">
      <c r="A10" s="24">
        <v>44773</v>
      </c>
      <c r="B10" s="16">
        <v>688</v>
      </c>
    </row>
    <row r="11" spans="1:2" x14ac:dyDescent="0.35">
      <c r="A11" s="24">
        <v>44804</v>
      </c>
      <c r="B11" s="16">
        <v>1697</v>
      </c>
    </row>
    <row r="12" spans="1:2" x14ac:dyDescent="0.35">
      <c r="A12" s="24">
        <v>44834</v>
      </c>
      <c r="B12" s="16">
        <v>1275</v>
      </c>
    </row>
    <row r="13" spans="1:2" x14ac:dyDescent="0.35">
      <c r="A13" s="24">
        <v>44895</v>
      </c>
      <c r="B13" s="16">
        <v>4282</v>
      </c>
    </row>
    <row r="14" spans="1:2" x14ac:dyDescent="0.35">
      <c r="A14" s="24">
        <v>44926</v>
      </c>
      <c r="B14" s="16">
        <v>1826</v>
      </c>
    </row>
    <row r="15" spans="1:2" x14ac:dyDescent="0.35">
      <c r="A15" s="24">
        <v>44957</v>
      </c>
      <c r="B15" s="16">
        <v>758</v>
      </c>
    </row>
    <row r="16" spans="1:2" x14ac:dyDescent="0.35">
      <c r="A16" s="24">
        <v>44985</v>
      </c>
      <c r="B16" s="16">
        <v>3455</v>
      </c>
    </row>
    <row r="17" spans="1:2" x14ac:dyDescent="0.35">
      <c r="A17" s="24">
        <v>45016</v>
      </c>
      <c r="B17" s="16">
        <v>4585</v>
      </c>
    </row>
    <row r="18" spans="1:2" x14ac:dyDescent="0.35">
      <c r="A18" s="24">
        <v>45046</v>
      </c>
      <c r="B18" s="16">
        <v>5696</v>
      </c>
    </row>
    <row r="19" spans="1:2" x14ac:dyDescent="0.35">
      <c r="A19" s="24">
        <v>45107</v>
      </c>
      <c r="B19" s="16">
        <v>2411</v>
      </c>
    </row>
    <row r="20" spans="1:2" x14ac:dyDescent="0.35">
      <c r="A20" s="24">
        <v>45138</v>
      </c>
      <c r="B20" s="16">
        <v>13773</v>
      </c>
    </row>
    <row r="21" spans="1:2" x14ac:dyDescent="0.35">
      <c r="A21" s="24">
        <v>45169</v>
      </c>
      <c r="B21" s="16">
        <v>62939</v>
      </c>
    </row>
    <row r="22" spans="1:2" x14ac:dyDescent="0.35">
      <c r="A22" s="24">
        <v>45199</v>
      </c>
      <c r="B22" s="16">
        <v>6862</v>
      </c>
    </row>
    <row r="23" spans="1:2" x14ac:dyDescent="0.35">
      <c r="A23" s="24">
        <v>45230</v>
      </c>
      <c r="B23" s="16">
        <v>11680</v>
      </c>
    </row>
    <row r="24" spans="1:2" x14ac:dyDescent="0.35">
      <c r="A24" s="24">
        <v>45260</v>
      </c>
      <c r="B24" s="16">
        <v>4652</v>
      </c>
    </row>
    <row r="25" spans="1:2" x14ac:dyDescent="0.35">
      <c r="A25" s="24">
        <v>45291</v>
      </c>
      <c r="B25" s="16">
        <v>14974</v>
      </c>
    </row>
    <row r="26" spans="1:2" x14ac:dyDescent="0.35">
      <c r="A26" s="24">
        <v>45322</v>
      </c>
      <c r="B26" s="16">
        <v>685</v>
      </c>
    </row>
    <row r="27" spans="1:2" x14ac:dyDescent="0.35">
      <c r="A27" s="24">
        <v>45351</v>
      </c>
      <c r="B27" s="16">
        <v>1168</v>
      </c>
    </row>
    <row r="28" spans="1:2" x14ac:dyDescent="0.35">
      <c r="A28" s="24">
        <v>45382</v>
      </c>
      <c r="B28" s="16">
        <v>4782</v>
      </c>
    </row>
    <row r="29" spans="1:2" x14ac:dyDescent="0.35">
      <c r="A29" s="24">
        <v>45412</v>
      </c>
      <c r="B29" s="16">
        <v>657</v>
      </c>
    </row>
    <row r="30" spans="1:2" x14ac:dyDescent="0.35">
      <c r="A30" s="24">
        <v>45443</v>
      </c>
      <c r="B30" s="16">
        <v>2336</v>
      </c>
    </row>
    <row r="31" spans="1:2" x14ac:dyDescent="0.35">
      <c r="A31" s="24">
        <v>45473</v>
      </c>
      <c r="B31" s="16">
        <v>2362</v>
      </c>
    </row>
    <row r="32" spans="1:2" x14ac:dyDescent="0.35">
      <c r="A32" s="24">
        <v>45504</v>
      </c>
      <c r="B32" s="16">
        <v>1328</v>
      </c>
    </row>
    <row r="33" spans="1:2" x14ac:dyDescent="0.35">
      <c r="A33" s="24">
        <v>45535</v>
      </c>
      <c r="B33" s="16">
        <v>81556</v>
      </c>
    </row>
    <row r="34" spans="1:2" x14ac:dyDescent="0.35">
      <c r="A34" s="24">
        <v>45565</v>
      </c>
      <c r="B34" s="16">
        <v>3984</v>
      </c>
    </row>
    <row r="35" spans="1:2" x14ac:dyDescent="0.35">
      <c r="A35" s="24">
        <v>45596</v>
      </c>
      <c r="B35" s="16">
        <v>4421</v>
      </c>
    </row>
    <row r="36" spans="1:2" x14ac:dyDescent="0.35">
      <c r="A36" s="24">
        <v>45626</v>
      </c>
      <c r="B36" s="16">
        <v>20466</v>
      </c>
    </row>
    <row r="37" spans="1:2" x14ac:dyDescent="0.35">
      <c r="A37" s="24">
        <v>45657</v>
      </c>
      <c r="B37" s="16">
        <v>16539</v>
      </c>
    </row>
    <row r="38" spans="1:2" x14ac:dyDescent="0.35">
      <c r="A38" s="24">
        <v>45688</v>
      </c>
      <c r="B38" s="16">
        <v>34123</v>
      </c>
    </row>
    <row r="39" spans="1:2" x14ac:dyDescent="0.35">
      <c r="A39" s="24">
        <v>45716</v>
      </c>
      <c r="B39" s="16">
        <v>94666</v>
      </c>
    </row>
    <row r="40" spans="1:2" x14ac:dyDescent="0.35">
      <c r="A40" s="24">
        <v>45747</v>
      </c>
      <c r="B40" s="16">
        <v>59023</v>
      </c>
    </row>
    <row r="41" spans="1:2" x14ac:dyDescent="0.35">
      <c r="A41" s="24">
        <v>45777</v>
      </c>
      <c r="B41" s="16">
        <v>23460</v>
      </c>
    </row>
    <row r="42" spans="1:2" x14ac:dyDescent="0.35">
      <c r="A42" s="24">
        <v>45808</v>
      </c>
      <c r="B42" s="16">
        <v>29796</v>
      </c>
    </row>
    <row r="43" spans="1:2" x14ac:dyDescent="0.35">
      <c r="A43" s="24">
        <v>45838</v>
      </c>
      <c r="B43" s="16">
        <v>31559</v>
      </c>
    </row>
    <row r="44" spans="1:2" x14ac:dyDescent="0.35">
      <c r="A44" s="24">
        <v>45869</v>
      </c>
      <c r="B44" s="16">
        <v>38287</v>
      </c>
    </row>
    <row r="45" spans="1:2" x14ac:dyDescent="0.35">
      <c r="A45" s="24">
        <v>45900</v>
      </c>
      <c r="B45" s="16">
        <v>35305</v>
      </c>
    </row>
    <row r="46" spans="1:2" x14ac:dyDescent="0.35">
      <c r="A46" s="24">
        <v>45930</v>
      </c>
      <c r="B46" s="16">
        <v>22807</v>
      </c>
    </row>
    <row r="47" spans="1:2" x14ac:dyDescent="0.35">
      <c r="A47" s="24">
        <v>45961</v>
      </c>
      <c r="B47" s="16">
        <v>38843</v>
      </c>
    </row>
    <row r="48" spans="1:2" x14ac:dyDescent="0.35">
      <c r="A48" s="24">
        <v>45991</v>
      </c>
      <c r="B48" s="16">
        <v>151353</v>
      </c>
    </row>
    <row r="49" spans="1:2" x14ac:dyDescent="0.35">
      <c r="A49" s="24">
        <v>46022</v>
      </c>
      <c r="B49" s="16">
        <v>88991</v>
      </c>
    </row>
    <row r="50" spans="1:2" x14ac:dyDescent="0.35">
      <c r="A50" s="24">
        <v>46053</v>
      </c>
      <c r="B50" s="16">
        <v>27888</v>
      </c>
    </row>
    <row r="51" spans="1:2" x14ac:dyDescent="0.35">
      <c r="A51" s="24" t="s">
        <v>1013</v>
      </c>
      <c r="B51" s="16">
        <v>968436</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zoomScale="78" zoomScaleNormal="78" workbookViewId="0">
      <selection activeCell="P10" sqref="P10"/>
    </sheetView>
  </sheetViews>
  <sheetFormatPr defaultRowHeight="14.5" x14ac:dyDescent="0.35"/>
  <cols>
    <col min="1" max="1" width="37.54296875" bestFit="1" customWidth="1"/>
    <col min="2" max="2" width="12.1796875" bestFit="1" customWidth="1"/>
  </cols>
  <sheetData>
    <row r="3" spans="1:2" x14ac:dyDescent="0.35">
      <c r="A3" s="15" t="s">
        <v>1012</v>
      </c>
      <c r="B3" t="s">
        <v>1015</v>
      </c>
    </row>
    <row r="4" spans="1:2" x14ac:dyDescent="0.35">
      <c r="A4" s="17" t="s">
        <v>1035</v>
      </c>
      <c r="B4" s="16">
        <v>77801</v>
      </c>
    </row>
    <row r="5" spans="1:2" x14ac:dyDescent="0.35">
      <c r="A5" s="17" t="s">
        <v>1036</v>
      </c>
      <c r="B5" s="16">
        <v>59152</v>
      </c>
    </row>
    <row r="6" spans="1:2" x14ac:dyDescent="0.35">
      <c r="A6" s="17" t="s">
        <v>1037</v>
      </c>
      <c r="B6" s="16">
        <v>43867</v>
      </c>
    </row>
    <row r="7" spans="1:2" x14ac:dyDescent="0.35">
      <c r="A7" s="17" t="s">
        <v>1038</v>
      </c>
      <c r="B7" s="16">
        <v>33514</v>
      </c>
    </row>
    <row r="8" spans="1:2" x14ac:dyDescent="0.35">
      <c r="A8" s="17" t="s">
        <v>1039</v>
      </c>
      <c r="B8" s="16">
        <v>32880</v>
      </c>
    </row>
    <row r="9" spans="1:2" x14ac:dyDescent="0.35">
      <c r="A9" s="17" t="s">
        <v>1013</v>
      </c>
      <c r="B9" s="16">
        <v>247214</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zoomScale="85" workbookViewId="0">
      <selection activeCell="N20" sqref="N20"/>
    </sheetView>
  </sheetViews>
  <sheetFormatPr defaultRowHeight="14.5" x14ac:dyDescent="0.35"/>
  <cols>
    <col min="1" max="1" width="13.1796875" bestFit="1" customWidth="1"/>
    <col min="2" max="2" width="28.81640625" customWidth="1"/>
  </cols>
  <sheetData>
    <row r="3" spans="1:2" x14ac:dyDescent="0.35">
      <c r="A3" s="15" t="s">
        <v>1012</v>
      </c>
      <c r="B3" t="s">
        <v>1026</v>
      </c>
    </row>
    <row r="4" spans="1:2" x14ac:dyDescent="0.35">
      <c r="A4" s="17" t="s">
        <v>1021</v>
      </c>
      <c r="B4" s="16">
        <v>0.46</v>
      </c>
    </row>
    <row r="5" spans="1:2" x14ac:dyDescent="0.35">
      <c r="A5" s="17" t="s">
        <v>1022</v>
      </c>
      <c r="B5" s="16">
        <v>2498.0910000000008</v>
      </c>
    </row>
    <row r="6" spans="1:2" x14ac:dyDescent="0.35">
      <c r="A6" s="17" t="s">
        <v>1023</v>
      </c>
      <c r="B6" s="16">
        <v>208.27899999999991</v>
      </c>
    </row>
    <row r="7" spans="1:2" x14ac:dyDescent="0.35">
      <c r="A7" s="17" t="s">
        <v>1024</v>
      </c>
      <c r="B7" s="16">
        <v>6348.8910000000005</v>
      </c>
    </row>
    <row r="8" spans="1:2" x14ac:dyDescent="0.35">
      <c r="A8" s="17" t="s">
        <v>1013</v>
      </c>
      <c r="B8" s="16">
        <v>9055.7210000000014</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1"/>
  <sheetViews>
    <sheetView zoomScale="72" workbookViewId="0">
      <selection activeCell="P12" sqref="P12"/>
    </sheetView>
  </sheetViews>
  <sheetFormatPr defaultRowHeight="14.5" x14ac:dyDescent="0.35"/>
  <cols>
    <col min="1" max="1" width="13.08984375" customWidth="1"/>
    <col min="2" max="2" width="17" customWidth="1"/>
  </cols>
  <sheetData>
    <row r="3" spans="1:2" x14ac:dyDescent="0.35">
      <c r="A3" s="15" t="s">
        <v>1012</v>
      </c>
      <c r="B3" t="s">
        <v>1014</v>
      </c>
    </row>
    <row r="4" spans="1:2" x14ac:dyDescent="0.35">
      <c r="A4" s="24">
        <v>43799</v>
      </c>
      <c r="B4" s="16">
        <v>1</v>
      </c>
    </row>
    <row r="5" spans="1:2" x14ac:dyDescent="0.35">
      <c r="A5" s="24">
        <v>43830</v>
      </c>
      <c r="B5" s="16">
        <v>6</v>
      </c>
    </row>
    <row r="6" spans="1:2" x14ac:dyDescent="0.35">
      <c r="A6" s="24">
        <v>43861</v>
      </c>
      <c r="B6" s="16">
        <v>6</v>
      </c>
    </row>
    <row r="7" spans="1:2" x14ac:dyDescent="0.35">
      <c r="A7" s="24">
        <v>43890</v>
      </c>
      <c r="B7" s="16">
        <v>8</v>
      </c>
    </row>
    <row r="8" spans="1:2" x14ac:dyDescent="0.35">
      <c r="A8" s="24">
        <v>44651</v>
      </c>
      <c r="B8" s="16">
        <v>8</v>
      </c>
    </row>
    <row r="9" spans="1:2" x14ac:dyDescent="0.35">
      <c r="A9" s="24">
        <v>44712</v>
      </c>
      <c r="B9" s="16">
        <v>1</v>
      </c>
    </row>
    <row r="10" spans="1:2" x14ac:dyDescent="0.35">
      <c r="A10" s="24">
        <v>44773</v>
      </c>
      <c r="B10" s="16">
        <v>1</v>
      </c>
    </row>
    <row r="11" spans="1:2" x14ac:dyDescent="0.35">
      <c r="A11" s="24">
        <v>44804</v>
      </c>
      <c r="B11" s="16">
        <v>1</v>
      </c>
    </row>
    <row r="12" spans="1:2" x14ac:dyDescent="0.35">
      <c r="A12" s="24">
        <v>44834</v>
      </c>
      <c r="B12" s="16">
        <v>0</v>
      </c>
    </row>
    <row r="13" spans="1:2" x14ac:dyDescent="0.35">
      <c r="A13" s="24">
        <v>44895</v>
      </c>
      <c r="B13" s="16">
        <v>4</v>
      </c>
    </row>
    <row r="14" spans="1:2" x14ac:dyDescent="0.35">
      <c r="A14" s="24">
        <v>44926</v>
      </c>
      <c r="B14" s="16">
        <v>6</v>
      </c>
    </row>
    <row r="15" spans="1:2" x14ac:dyDescent="0.35">
      <c r="A15" s="24">
        <v>44957</v>
      </c>
      <c r="B15" s="16">
        <v>3</v>
      </c>
    </row>
    <row r="16" spans="1:2" x14ac:dyDescent="0.35">
      <c r="A16" s="24">
        <v>44985</v>
      </c>
      <c r="B16" s="16">
        <v>2</v>
      </c>
    </row>
    <row r="17" spans="1:2" x14ac:dyDescent="0.35">
      <c r="A17" s="24">
        <v>45016</v>
      </c>
      <c r="B17" s="16">
        <v>4</v>
      </c>
    </row>
    <row r="18" spans="1:2" x14ac:dyDescent="0.35">
      <c r="A18" s="24">
        <v>45046</v>
      </c>
      <c r="B18" s="16">
        <v>17</v>
      </c>
    </row>
    <row r="19" spans="1:2" x14ac:dyDescent="0.35">
      <c r="A19" s="24">
        <v>45107</v>
      </c>
      <c r="B19" s="16">
        <v>7</v>
      </c>
    </row>
    <row r="20" spans="1:2" x14ac:dyDescent="0.35">
      <c r="A20" s="24">
        <v>45138</v>
      </c>
      <c r="B20" s="16">
        <v>23</v>
      </c>
    </row>
    <row r="21" spans="1:2" x14ac:dyDescent="0.35">
      <c r="A21" s="24">
        <v>45169</v>
      </c>
      <c r="B21" s="16">
        <v>66</v>
      </c>
    </row>
    <row r="22" spans="1:2" x14ac:dyDescent="0.35">
      <c r="A22" s="24">
        <v>45199</v>
      </c>
      <c r="B22" s="16">
        <v>6</v>
      </c>
    </row>
    <row r="23" spans="1:2" x14ac:dyDescent="0.35">
      <c r="A23" s="24">
        <v>45230</v>
      </c>
      <c r="B23" s="16">
        <v>25</v>
      </c>
    </row>
    <row r="24" spans="1:2" x14ac:dyDescent="0.35">
      <c r="A24" s="24">
        <v>45260</v>
      </c>
      <c r="B24" s="16">
        <v>5</v>
      </c>
    </row>
    <row r="25" spans="1:2" x14ac:dyDescent="0.35">
      <c r="A25" s="24">
        <v>45291</v>
      </c>
      <c r="B25" s="16">
        <v>32</v>
      </c>
    </row>
    <row r="26" spans="1:2" x14ac:dyDescent="0.35">
      <c r="A26" s="24">
        <v>45322</v>
      </c>
      <c r="B26" s="16">
        <v>1</v>
      </c>
    </row>
    <row r="27" spans="1:2" x14ac:dyDescent="0.35">
      <c r="A27" s="24">
        <v>45351</v>
      </c>
      <c r="B27" s="16">
        <v>0</v>
      </c>
    </row>
    <row r="28" spans="1:2" x14ac:dyDescent="0.35">
      <c r="A28" s="24">
        <v>45382</v>
      </c>
      <c r="B28" s="16">
        <v>5</v>
      </c>
    </row>
    <row r="29" spans="1:2" x14ac:dyDescent="0.35">
      <c r="A29" s="24">
        <v>45412</v>
      </c>
      <c r="B29" s="16">
        <v>2</v>
      </c>
    </row>
    <row r="30" spans="1:2" x14ac:dyDescent="0.35">
      <c r="A30" s="24">
        <v>45443</v>
      </c>
      <c r="B30" s="16">
        <v>0</v>
      </c>
    </row>
    <row r="31" spans="1:2" x14ac:dyDescent="0.35">
      <c r="A31" s="24">
        <v>45473</v>
      </c>
      <c r="B31" s="16">
        <v>3</v>
      </c>
    </row>
    <row r="32" spans="1:2" x14ac:dyDescent="0.35">
      <c r="A32" s="24">
        <v>45504</v>
      </c>
      <c r="B32" s="16">
        <v>3</v>
      </c>
    </row>
    <row r="33" spans="1:2" x14ac:dyDescent="0.35">
      <c r="A33" s="24">
        <v>45535</v>
      </c>
      <c r="B33" s="16">
        <v>103</v>
      </c>
    </row>
    <row r="34" spans="1:2" x14ac:dyDescent="0.35">
      <c r="A34" s="24">
        <v>45565</v>
      </c>
      <c r="B34" s="16">
        <v>12</v>
      </c>
    </row>
    <row r="35" spans="1:2" x14ac:dyDescent="0.35">
      <c r="A35" s="24">
        <v>45596</v>
      </c>
      <c r="B35" s="16">
        <v>4</v>
      </c>
    </row>
    <row r="36" spans="1:2" x14ac:dyDescent="0.35">
      <c r="A36" s="24">
        <v>45626</v>
      </c>
      <c r="B36" s="16">
        <v>16</v>
      </c>
    </row>
    <row r="37" spans="1:2" x14ac:dyDescent="0.35">
      <c r="A37" s="24">
        <v>45657</v>
      </c>
      <c r="B37" s="16">
        <v>25</v>
      </c>
    </row>
    <row r="38" spans="1:2" x14ac:dyDescent="0.35">
      <c r="A38" s="24">
        <v>45688</v>
      </c>
      <c r="B38" s="16">
        <v>46</v>
      </c>
    </row>
    <row r="39" spans="1:2" x14ac:dyDescent="0.35">
      <c r="A39" s="24">
        <v>45716</v>
      </c>
      <c r="B39" s="16">
        <v>313</v>
      </c>
    </row>
    <row r="40" spans="1:2" x14ac:dyDescent="0.35">
      <c r="A40" s="24">
        <v>45747</v>
      </c>
      <c r="B40" s="16">
        <v>709</v>
      </c>
    </row>
    <row r="41" spans="1:2" x14ac:dyDescent="0.35">
      <c r="A41" s="24">
        <v>45777</v>
      </c>
      <c r="B41" s="16">
        <v>254</v>
      </c>
    </row>
    <row r="42" spans="1:2" x14ac:dyDescent="0.35">
      <c r="A42" s="24">
        <v>45808</v>
      </c>
      <c r="B42" s="16">
        <v>212</v>
      </c>
    </row>
    <row r="43" spans="1:2" x14ac:dyDescent="0.35">
      <c r="A43" s="24">
        <v>45838</v>
      </c>
      <c r="B43" s="16">
        <v>68</v>
      </c>
    </row>
    <row r="44" spans="1:2" x14ac:dyDescent="0.35">
      <c r="A44" s="24">
        <v>45869</v>
      </c>
      <c r="B44" s="16">
        <v>100</v>
      </c>
    </row>
    <row r="45" spans="1:2" x14ac:dyDescent="0.35">
      <c r="A45" s="24">
        <v>45900</v>
      </c>
      <c r="B45" s="16">
        <v>27</v>
      </c>
    </row>
    <row r="46" spans="1:2" x14ac:dyDescent="0.35">
      <c r="A46" s="24">
        <v>45930</v>
      </c>
      <c r="B46" s="16">
        <v>24</v>
      </c>
    </row>
    <row r="47" spans="1:2" x14ac:dyDescent="0.35">
      <c r="A47" s="24">
        <v>45961</v>
      </c>
      <c r="B47" s="16">
        <v>27</v>
      </c>
    </row>
    <row r="48" spans="1:2" x14ac:dyDescent="0.35">
      <c r="A48" s="24">
        <v>45991</v>
      </c>
      <c r="B48" s="16">
        <v>44</v>
      </c>
    </row>
    <row r="49" spans="1:2" x14ac:dyDescent="0.35">
      <c r="A49" s="24">
        <v>46022</v>
      </c>
      <c r="B49" s="16">
        <v>39</v>
      </c>
    </row>
    <row r="50" spans="1:2" x14ac:dyDescent="0.35">
      <c r="A50" s="24">
        <v>46053</v>
      </c>
      <c r="B50" s="16">
        <v>16</v>
      </c>
    </row>
    <row r="51" spans="1:2" x14ac:dyDescent="0.35">
      <c r="A51" s="24" t="s">
        <v>1013</v>
      </c>
      <c r="B51" s="16">
        <v>2285</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2"/>
  <sheetViews>
    <sheetView zoomScale="52" zoomScaleNormal="130" workbookViewId="0">
      <pane ySplit="1" topLeftCell="A2" activePane="bottomLeft" state="frozen"/>
      <selection pane="bottomLeft" sqref="A1:M500"/>
    </sheetView>
  </sheetViews>
  <sheetFormatPr defaultRowHeight="14.5" x14ac:dyDescent="0.35"/>
  <cols>
    <col min="1" max="1" width="19" bestFit="1" customWidth="1"/>
    <col min="2" max="2" width="112.1796875" bestFit="1" customWidth="1"/>
    <col min="3" max="3" width="45.90625" bestFit="1" customWidth="1"/>
    <col min="4" max="4" width="19.7265625" bestFit="1" customWidth="1"/>
    <col min="5" max="5" width="26.36328125" style="14" bestFit="1" customWidth="1"/>
    <col min="6" max="6" width="14.1796875" style="14" bestFit="1" customWidth="1"/>
    <col min="7" max="7" width="21.1796875" style="2" bestFit="1" customWidth="1"/>
    <col min="8" max="8" width="11.90625" style="2" bestFit="1" customWidth="1"/>
    <col min="9" max="9" width="26.36328125" style="1" bestFit="1" customWidth="1"/>
    <col min="10" max="10" width="18.81640625" style="2" bestFit="1" customWidth="1"/>
    <col min="11" max="11" width="32.81640625" style="3" bestFit="1" customWidth="1"/>
    <col min="12" max="12" width="18.81640625" style="2" customWidth="1"/>
    <col min="13" max="13" width="45.36328125" style="1" bestFit="1" customWidth="1"/>
  </cols>
  <sheetData>
    <row r="1" spans="1:13" x14ac:dyDescent="0.35">
      <c r="A1" s="8" t="s">
        <v>1007</v>
      </c>
      <c r="B1" s="8" t="s">
        <v>1006</v>
      </c>
      <c r="C1" s="8" t="s">
        <v>1034</v>
      </c>
      <c r="D1" s="8" t="s">
        <v>1016</v>
      </c>
      <c r="E1" s="12" t="s">
        <v>1008</v>
      </c>
      <c r="F1" s="12" t="s">
        <v>1033</v>
      </c>
      <c r="G1" s="9" t="s">
        <v>1011</v>
      </c>
      <c r="H1" s="9" t="s">
        <v>10</v>
      </c>
      <c r="I1" s="10" t="s">
        <v>1020</v>
      </c>
      <c r="J1" s="9" t="s">
        <v>11</v>
      </c>
      <c r="K1" s="11" t="s">
        <v>1009</v>
      </c>
      <c r="L1" s="9" t="s">
        <v>12</v>
      </c>
      <c r="M1" s="10" t="s">
        <v>1010</v>
      </c>
    </row>
    <row r="2" spans="1:13" x14ac:dyDescent="0.35">
      <c r="A2" s="4" t="s">
        <v>537</v>
      </c>
      <c r="B2" s="4" t="s">
        <v>538</v>
      </c>
      <c r="C2" s="4" t="str">
        <f>LEFT(B2,40)</f>
        <v xml:space="preserve">Kohinoor Eden Kalyan East | 1BHK Sample </v>
      </c>
      <c r="D2" s="4" t="str">
        <f ca="1">IF(E2&gt;=TODAY()-28,"Last 28 Days",IF(E2&gt;=TODAY()-90,"Last 90 Days",IF(E2&gt;=TODAY()-365,"Last 365 Days","Older")))</f>
        <v>Last 28 Days</v>
      </c>
      <c r="E2" s="13">
        <v>46051</v>
      </c>
      <c r="F2" s="23">
        <f>EOMONTH(E2,0)</f>
        <v>46053</v>
      </c>
      <c r="G2" s="5">
        <v>53</v>
      </c>
      <c r="H2" s="5">
        <v>927</v>
      </c>
      <c r="I2" s="6">
        <v>1.7768999999999999</v>
      </c>
      <c r="J2" s="5">
        <v>0</v>
      </c>
      <c r="K2" s="7">
        <v>0.25800000000000001</v>
      </c>
      <c r="L2" s="5">
        <v>987</v>
      </c>
      <c r="M2" s="6">
        <v>7.5</v>
      </c>
    </row>
    <row r="3" spans="1:13" x14ac:dyDescent="0.35">
      <c r="A3" s="4" t="s">
        <v>700</v>
      </c>
      <c r="B3" s="4" t="s">
        <v>701</v>
      </c>
      <c r="C3" s="4" t="str">
        <f t="shared" ref="C3:C66" si="0">LEFT(B3,40)</f>
        <v>Davkhar Sereno Kalyan East | 2BHK Show F</v>
      </c>
      <c r="D3" s="4" t="str">
        <f t="shared" ref="D3:D66" ca="1" si="1">IF(E3&gt;=TODAY()-28,"Last 28 Days",IF(E3&gt;=TODAY()-90,"Last 90 Days",IF(E3&gt;=TODAY()-365,"Last 365 Days","Older")))</f>
        <v>Last 28 Days</v>
      </c>
      <c r="E3" s="13">
        <v>46050</v>
      </c>
      <c r="F3" s="23">
        <f t="shared" ref="F3:F66" si="2">EOMONTH(E3,0)</f>
        <v>46053</v>
      </c>
      <c r="G3" s="5">
        <v>95</v>
      </c>
      <c r="H3" s="5">
        <v>772</v>
      </c>
      <c r="I3" s="6">
        <v>1.4882</v>
      </c>
      <c r="J3" s="5">
        <v>0</v>
      </c>
      <c r="K3" s="7">
        <v>0.20200000000000001</v>
      </c>
      <c r="L3" s="5">
        <v>994</v>
      </c>
      <c r="M3" s="6">
        <v>5.23</v>
      </c>
    </row>
    <row r="4" spans="1:13" x14ac:dyDescent="0.35">
      <c r="A4" s="4" t="s">
        <v>317</v>
      </c>
      <c r="B4" s="4" t="s">
        <v>318</v>
      </c>
      <c r="C4" s="4" t="str">
        <f t="shared" si="0"/>
        <v>1 BHK Flat in Kalyan West Khadakpada | S</v>
      </c>
      <c r="D4" s="4" t="str">
        <f t="shared" ca="1" si="1"/>
        <v>Last 90 Days</v>
      </c>
      <c r="E4" s="13">
        <v>46047</v>
      </c>
      <c r="F4" s="23">
        <f t="shared" si="2"/>
        <v>46053</v>
      </c>
      <c r="G4" s="5">
        <v>65</v>
      </c>
      <c r="H4" s="5">
        <v>1266</v>
      </c>
      <c r="I4" s="6">
        <v>5.0406000000000004</v>
      </c>
      <c r="J4" s="5">
        <v>2</v>
      </c>
      <c r="K4" s="7">
        <v>0.50700000000000001</v>
      </c>
      <c r="L4" s="5">
        <v>1263</v>
      </c>
      <c r="M4" s="6">
        <v>8.08</v>
      </c>
    </row>
    <row r="5" spans="1:13" x14ac:dyDescent="0.35">
      <c r="A5" s="4" t="s">
        <v>680</v>
      </c>
      <c r="B5" s="4" t="s">
        <v>681</v>
      </c>
      <c r="C5" s="4" t="str">
        <f t="shared" si="0"/>
        <v>Luxury 2 BHK Flat for Sale in Kalyan Wes</v>
      </c>
      <c r="D5" s="4" t="str">
        <f t="shared" ca="1" si="1"/>
        <v>Last 90 Days</v>
      </c>
      <c r="E5" s="13">
        <v>46047</v>
      </c>
      <c r="F5" s="23">
        <f t="shared" si="2"/>
        <v>46053</v>
      </c>
      <c r="G5" s="5">
        <v>61</v>
      </c>
      <c r="H5" s="5">
        <v>790</v>
      </c>
      <c r="I5" s="6">
        <v>3.2665999999999999</v>
      </c>
      <c r="J5" s="5">
        <v>0</v>
      </c>
      <c r="K5" s="7">
        <v>0.433</v>
      </c>
      <c r="L5" s="5">
        <v>1442</v>
      </c>
      <c r="M5" s="6">
        <v>6.24</v>
      </c>
    </row>
    <row r="6" spans="1:13" x14ac:dyDescent="0.35">
      <c r="A6" s="4" t="s">
        <v>618</v>
      </c>
      <c r="B6" s="4" t="s">
        <v>619</v>
      </c>
      <c r="C6" s="4" t="str">
        <f t="shared" si="0"/>
        <v>Shubharambh Titwala 1 BHK Show Flat Tour</v>
      </c>
      <c r="D6" s="4" t="str">
        <f t="shared" ca="1" si="1"/>
        <v>Last 90 Days</v>
      </c>
      <c r="E6" s="13">
        <v>46045</v>
      </c>
      <c r="F6" s="23">
        <f t="shared" si="2"/>
        <v>46053</v>
      </c>
      <c r="G6" s="5">
        <v>55</v>
      </c>
      <c r="H6" s="5">
        <v>833</v>
      </c>
      <c r="I6" s="6">
        <v>2.7587000000000002</v>
      </c>
      <c r="J6" s="5">
        <v>0</v>
      </c>
      <c r="K6" s="7">
        <v>0.39700000000000002</v>
      </c>
      <c r="L6" s="5">
        <v>1248</v>
      </c>
      <c r="M6" s="6">
        <v>5.61</v>
      </c>
    </row>
    <row r="7" spans="1:13" x14ac:dyDescent="0.35">
      <c r="A7" s="4" t="s">
        <v>816</v>
      </c>
      <c r="B7" s="4" t="s">
        <v>817</v>
      </c>
      <c r="C7" s="4" t="str">
        <f t="shared" si="0"/>
        <v>2 BHK Flat for Sale in Dombivli East | L</v>
      </c>
      <c r="D7" s="4" t="str">
        <f t="shared" ca="1" si="1"/>
        <v>Last 90 Days</v>
      </c>
      <c r="E7" s="13">
        <v>46045</v>
      </c>
      <c r="F7" s="23">
        <f t="shared" si="2"/>
        <v>46053</v>
      </c>
      <c r="G7" s="5">
        <v>64</v>
      </c>
      <c r="H7" s="5">
        <v>639</v>
      </c>
      <c r="I7" s="6">
        <v>2.5716000000000001</v>
      </c>
      <c r="J7" s="5">
        <v>0</v>
      </c>
      <c r="K7" s="7">
        <v>0.50800000000000001</v>
      </c>
      <c r="L7" s="5">
        <v>1394</v>
      </c>
      <c r="M7" s="6">
        <v>6.89</v>
      </c>
    </row>
    <row r="8" spans="1:13" x14ac:dyDescent="0.35">
      <c r="A8" s="4" t="s">
        <v>256</v>
      </c>
      <c r="B8" s="4" t="s">
        <v>257</v>
      </c>
      <c r="C8" s="4" t="str">
        <f t="shared" si="0"/>
        <v>Kohinoor Gardens Shahad | 1 BHK Flat for</v>
      </c>
      <c r="D8" s="4" t="str">
        <f t="shared" ca="1" si="1"/>
        <v>Last 90 Days</v>
      </c>
      <c r="E8" s="13">
        <v>46044</v>
      </c>
      <c r="F8" s="23">
        <f t="shared" si="2"/>
        <v>46053</v>
      </c>
      <c r="G8" s="5">
        <v>34</v>
      </c>
      <c r="H8" s="5">
        <v>1430</v>
      </c>
      <c r="I8" s="6">
        <v>4.4584000000000001</v>
      </c>
      <c r="J8" s="5">
        <v>0</v>
      </c>
      <c r="K8" s="7">
        <v>1.2849999999999999</v>
      </c>
      <c r="L8" s="5">
        <v>1709</v>
      </c>
      <c r="M8" s="6">
        <v>7.72</v>
      </c>
    </row>
    <row r="9" spans="1:13" x14ac:dyDescent="0.35">
      <c r="A9" s="4" t="s">
        <v>779</v>
      </c>
      <c r="B9" s="4" t="s">
        <v>780</v>
      </c>
      <c r="C9" s="4" t="str">
        <f t="shared" si="0"/>
        <v>Dream Atlantis Kalyan West | 3BHK Sample</v>
      </c>
      <c r="D9" s="4" t="str">
        <f t="shared" ca="1" si="1"/>
        <v>Last 90 Days</v>
      </c>
      <c r="E9" s="13">
        <v>46044</v>
      </c>
      <c r="F9" s="23">
        <f t="shared" si="2"/>
        <v>46053</v>
      </c>
      <c r="G9" s="5">
        <v>147</v>
      </c>
      <c r="H9" s="5">
        <v>685</v>
      </c>
      <c r="I9" s="6">
        <v>4.5221</v>
      </c>
      <c r="J9" s="5">
        <v>0</v>
      </c>
      <c r="K9" s="7">
        <v>0.38100000000000001</v>
      </c>
      <c r="L9" s="5">
        <v>1890</v>
      </c>
      <c r="M9" s="6">
        <v>6.4</v>
      </c>
    </row>
    <row r="10" spans="1:13" x14ac:dyDescent="0.35">
      <c r="A10" s="4" t="s">
        <v>637</v>
      </c>
      <c r="B10" s="4" t="s">
        <v>638</v>
      </c>
      <c r="C10" s="4" t="str">
        <f t="shared" si="0"/>
        <v>YSquare Thane 2BHK Show Flat Tour | Prem</v>
      </c>
      <c r="D10" s="4" t="str">
        <f t="shared" ca="1" si="1"/>
        <v>Last 90 Days</v>
      </c>
      <c r="E10" s="13">
        <v>46042</v>
      </c>
      <c r="F10" s="23">
        <f t="shared" si="2"/>
        <v>46053</v>
      </c>
      <c r="G10" s="5">
        <v>57</v>
      </c>
      <c r="H10" s="5">
        <v>822</v>
      </c>
      <c r="I10" s="6">
        <v>2.4489000000000001</v>
      </c>
      <c r="J10" s="5">
        <v>0</v>
      </c>
      <c r="K10" s="7">
        <v>0.38</v>
      </c>
      <c r="L10" s="5">
        <v>1130</v>
      </c>
      <c r="M10" s="6">
        <v>5.75</v>
      </c>
    </row>
    <row r="11" spans="1:13" x14ac:dyDescent="0.35">
      <c r="A11" s="4" t="s">
        <v>763</v>
      </c>
      <c r="B11" s="4" t="s">
        <v>764</v>
      </c>
      <c r="C11" s="4" t="str">
        <f t="shared" si="0"/>
        <v>Mountain Greens 1 BHK Flat for Sale in K</v>
      </c>
      <c r="D11" s="4" t="str">
        <f t="shared" ca="1" si="1"/>
        <v>Last 90 Days</v>
      </c>
      <c r="E11" s="13">
        <v>46042</v>
      </c>
      <c r="F11" s="23">
        <f t="shared" si="2"/>
        <v>46053</v>
      </c>
      <c r="G11" s="5">
        <v>61</v>
      </c>
      <c r="H11" s="5">
        <v>711</v>
      </c>
      <c r="I11" s="6">
        <v>3.1505999999999998</v>
      </c>
      <c r="J11" s="5">
        <v>0</v>
      </c>
      <c r="K11" s="7">
        <v>0.40100000000000002</v>
      </c>
      <c r="L11" s="5">
        <v>809</v>
      </c>
      <c r="M11" s="6">
        <v>6.92</v>
      </c>
    </row>
    <row r="12" spans="1:13" x14ac:dyDescent="0.35">
      <c r="A12" s="4" t="s">
        <v>555</v>
      </c>
      <c r="B12" s="4" t="s">
        <v>556</v>
      </c>
      <c r="C12" s="4" t="str">
        <f t="shared" si="0"/>
        <v>Godrej Exquisite Thane | 3 BHK Show Flat</v>
      </c>
      <c r="D12" s="4" t="str">
        <f t="shared" ca="1" si="1"/>
        <v>Last 90 Days</v>
      </c>
      <c r="E12" s="13">
        <v>46038</v>
      </c>
      <c r="F12" s="23">
        <f t="shared" si="2"/>
        <v>46053</v>
      </c>
      <c r="G12" s="5">
        <v>96</v>
      </c>
      <c r="H12" s="5">
        <v>906</v>
      </c>
      <c r="I12" s="6">
        <v>2.2353000000000001</v>
      </c>
      <c r="J12" s="5">
        <v>0</v>
      </c>
      <c r="K12" s="7">
        <v>0.27300000000000002</v>
      </c>
      <c r="L12" s="5">
        <v>1701</v>
      </c>
      <c r="M12" s="6">
        <v>3.59</v>
      </c>
    </row>
    <row r="13" spans="1:13" x14ac:dyDescent="0.35">
      <c r="A13" s="4" t="s">
        <v>473</v>
      </c>
      <c r="B13" s="4" t="s">
        <v>474</v>
      </c>
      <c r="C13" s="4" t="str">
        <f t="shared" si="0"/>
        <v>Barku Heights Flats for Sale | 1 BHK Hom</v>
      </c>
      <c r="D13" s="4" t="str">
        <f t="shared" ca="1" si="1"/>
        <v>Last 90 Days</v>
      </c>
      <c r="E13" s="13">
        <v>46037</v>
      </c>
      <c r="F13" s="23">
        <f t="shared" si="2"/>
        <v>46053</v>
      </c>
      <c r="G13" s="5">
        <v>40</v>
      </c>
      <c r="H13" s="5">
        <v>997</v>
      </c>
      <c r="I13" s="6">
        <v>3.3751000000000002</v>
      </c>
      <c r="J13" s="5">
        <v>0</v>
      </c>
      <c r="K13" s="7">
        <v>0.42099999999999999</v>
      </c>
      <c r="L13" s="5">
        <v>1798</v>
      </c>
      <c r="M13" s="6">
        <v>6.73</v>
      </c>
    </row>
    <row r="14" spans="1:13" x14ac:dyDescent="0.35">
      <c r="A14" s="4" t="s">
        <v>769</v>
      </c>
      <c r="B14" s="4" t="s">
        <v>902</v>
      </c>
      <c r="C14" s="4" t="str">
        <f t="shared" si="0"/>
        <v>Vihang Infinity Thane | 1 &amp; 2 BHK Sample</v>
      </c>
      <c r="D14" s="4" t="str">
        <f t="shared" ca="1" si="1"/>
        <v>Last 90 Days</v>
      </c>
      <c r="E14" s="13">
        <v>46036</v>
      </c>
      <c r="F14" s="23">
        <f t="shared" si="2"/>
        <v>46053</v>
      </c>
      <c r="G14" s="5">
        <v>67</v>
      </c>
      <c r="H14" s="5">
        <v>694</v>
      </c>
      <c r="I14" s="6">
        <v>2.3410000000000002</v>
      </c>
      <c r="J14" s="5">
        <v>0</v>
      </c>
      <c r="K14" s="7">
        <v>0.20799999999999999</v>
      </c>
      <c r="L14" s="5">
        <v>961</v>
      </c>
      <c r="M14" s="6">
        <v>4.16</v>
      </c>
    </row>
    <row r="15" spans="1:13" x14ac:dyDescent="0.35">
      <c r="A15" s="4" t="s">
        <v>861</v>
      </c>
      <c r="B15" s="4" t="s">
        <v>862</v>
      </c>
      <c r="C15" s="4" t="str">
        <f t="shared" si="0"/>
        <v xml:space="preserve">Sai Altezza Kalyan East | Premium 2 BHK </v>
      </c>
      <c r="D15" s="4" t="str">
        <f t="shared" ca="1" si="1"/>
        <v>Last 90 Days</v>
      </c>
      <c r="E15" s="13">
        <v>46036</v>
      </c>
      <c r="F15" s="23">
        <f t="shared" si="2"/>
        <v>46053</v>
      </c>
      <c r="G15" s="5">
        <v>65</v>
      </c>
      <c r="H15" s="5">
        <v>608</v>
      </c>
      <c r="I15" s="6">
        <v>2.1478000000000002</v>
      </c>
      <c r="J15" s="5">
        <v>0</v>
      </c>
      <c r="K15" s="7">
        <v>0.23599999999999999</v>
      </c>
      <c r="L15" s="5">
        <v>1462</v>
      </c>
      <c r="M15" s="6">
        <v>7.05</v>
      </c>
    </row>
    <row r="16" spans="1:13" x14ac:dyDescent="0.35">
      <c r="A16" s="4" t="s">
        <v>608</v>
      </c>
      <c r="B16" s="4" t="s">
        <v>609</v>
      </c>
      <c r="C16" s="4" t="str">
        <f t="shared" si="0"/>
        <v>2 BHK Flat for Sale in Kalyan West | Cha</v>
      </c>
      <c r="D16" s="4" t="str">
        <f t="shared" ca="1" si="1"/>
        <v>Last 90 Days</v>
      </c>
      <c r="E16" s="13">
        <v>46033</v>
      </c>
      <c r="F16" s="23">
        <f t="shared" si="2"/>
        <v>46053</v>
      </c>
      <c r="G16" s="5">
        <v>83</v>
      </c>
      <c r="H16" s="5">
        <v>843</v>
      </c>
      <c r="I16" s="6">
        <v>3.0672999999999999</v>
      </c>
      <c r="J16" s="5">
        <v>0</v>
      </c>
      <c r="K16" s="7">
        <v>0.29499999999999998</v>
      </c>
      <c r="L16" s="5">
        <v>1472</v>
      </c>
      <c r="M16" s="6">
        <v>5.0999999999999996</v>
      </c>
    </row>
    <row r="17" spans="1:13" x14ac:dyDescent="0.35">
      <c r="A17" s="4" t="s">
        <v>255</v>
      </c>
      <c r="B17" s="4" t="s">
        <v>917</v>
      </c>
      <c r="C17" s="4" t="str">
        <f t="shared" si="0"/>
        <v>Saket Ayodhya City (Kalyan E) | 2BHK Fro</v>
      </c>
      <c r="D17" s="4" t="str">
        <f t="shared" ca="1" si="1"/>
        <v>Last 90 Days</v>
      </c>
      <c r="E17" s="13">
        <v>46031</v>
      </c>
      <c r="F17" s="23">
        <f t="shared" si="2"/>
        <v>46053</v>
      </c>
      <c r="G17" s="5">
        <v>58</v>
      </c>
      <c r="H17" s="5">
        <v>1438</v>
      </c>
      <c r="I17" s="6">
        <v>4.2077999999999998</v>
      </c>
      <c r="J17" s="5">
        <v>2</v>
      </c>
      <c r="K17" s="7">
        <v>0.61</v>
      </c>
      <c r="L17" s="5">
        <v>1866</v>
      </c>
      <c r="M17" s="6">
        <v>4.93</v>
      </c>
    </row>
    <row r="18" spans="1:13" x14ac:dyDescent="0.35">
      <c r="A18" s="4" t="s">
        <v>406</v>
      </c>
      <c r="B18" s="4" t="s">
        <v>407</v>
      </c>
      <c r="C18" s="4" t="str">
        <f t="shared" si="0"/>
        <v>Sahyadri Elite Kalyan East 1 BHK Flat fo</v>
      </c>
      <c r="D18" s="4" t="str">
        <f t="shared" ca="1" si="1"/>
        <v>Last 90 Days</v>
      </c>
      <c r="E18" s="13">
        <v>46031</v>
      </c>
      <c r="F18" s="23">
        <f t="shared" si="2"/>
        <v>46053</v>
      </c>
      <c r="G18" s="5">
        <v>48</v>
      </c>
      <c r="H18" s="5">
        <v>1107</v>
      </c>
      <c r="I18" s="6">
        <v>2.8083</v>
      </c>
      <c r="J18" s="5">
        <v>1</v>
      </c>
      <c r="K18" s="7">
        <v>0.33</v>
      </c>
      <c r="L18" s="5">
        <v>1857</v>
      </c>
      <c r="M18" s="6">
        <v>5.44</v>
      </c>
    </row>
    <row r="19" spans="1:13" x14ac:dyDescent="0.35">
      <c r="A19" s="4" t="s">
        <v>639</v>
      </c>
      <c r="B19" s="4" t="s">
        <v>640</v>
      </c>
      <c r="C19" s="4" t="str">
        <f t="shared" si="0"/>
        <v xml:space="preserve">Marathe Tower Titwala | Marathe Tower 2 </v>
      </c>
      <c r="D19" s="4" t="str">
        <f t="shared" ca="1" si="1"/>
        <v>Last 90 Days</v>
      </c>
      <c r="E19" s="13">
        <v>46031</v>
      </c>
      <c r="F19" s="23">
        <f t="shared" si="2"/>
        <v>46053</v>
      </c>
      <c r="G19" s="5">
        <v>46</v>
      </c>
      <c r="H19" s="5">
        <v>821</v>
      </c>
      <c r="I19" s="6">
        <v>2.0886999999999998</v>
      </c>
      <c r="J19" s="5">
        <v>0</v>
      </c>
      <c r="K19" s="7">
        <v>0.23699999999999999</v>
      </c>
      <c r="L19" s="5">
        <v>1706</v>
      </c>
      <c r="M19" s="6">
        <v>5.92</v>
      </c>
    </row>
    <row r="20" spans="1:13" x14ac:dyDescent="0.35">
      <c r="A20" s="4" t="s">
        <v>504</v>
      </c>
      <c r="B20" s="4" t="s">
        <v>505</v>
      </c>
      <c r="C20" s="4" t="str">
        <f t="shared" si="0"/>
        <v>Tulip Heights Kalyan | Spacious 2 BHK Fl</v>
      </c>
      <c r="D20" s="4" t="str">
        <f t="shared" ca="1" si="1"/>
        <v>Last 90 Days</v>
      </c>
      <c r="E20" s="13">
        <v>46030</v>
      </c>
      <c r="F20" s="23">
        <f t="shared" si="2"/>
        <v>46053</v>
      </c>
      <c r="G20" s="5">
        <v>85</v>
      </c>
      <c r="H20" s="5">
        <v>967</v>
      </c>
      <c r="I20" s="6">
        <v>4.7295999999999996</v>
      </c>
      <c r="J20" s="5">
        <v>3</v>
      </c>
      <c r="K20" s="7">
        <v>0.373</v>
      </c>
      <c r="L20" s="5">
        <v>1326</v>
      </c>
      <c r="M20" s="6">
        <v>7.69</v>
      </c>
    </row>
    <row r="21" spans="1:13" x14ac:dyDescent="0.35">
      <c r="A21" s="4" t="s">
        <v>266</v>
      </c>
      <c r="B21" s="4" t="s">
        <v>918</v>
      </c>
      <c r="C21" s="4" t="str">
        <f t="shared" si="0"/>
        <v>Atlanta Avadh Shahad | 1 &amp; 2BHK Flats in</v>
      </c>
      <c r="D21" s="4" t="str">
        <f t="shared" ca="1" si="1"/>
        <v>Last 90 Days</v>
      </c>
      <c r="E21" s="13">
        <v>46029</v>
      </c>
      <c r="F21" s="23">
        <f t="shared" si="2"/>
        <v>46053</v>
      </c>
      <c r="G21" s="5">
        <v>37</v>
      </c>
      <c r="H21" s="5">
        <v>1412</v>
      </c>
      <c r="I21" s="6">
        <v>5.0517000000000003</v>
      </c>
      <c r="J21" s="5">
        <v>1</v>
      </c>
      <c r="K21" s="7">
        <v>0.68600000000000005</v>
      </c>
      <c r="L21" s="5">
        <v>3318</v>
      </c>
      <c r="M21" s="6">
        <v>6.72</v>
      </c>
    </row>
    <row r="22" spans="1:13" x14ac:dyDescent="0.35">
      <c r="A22" s="4" t="s">
        <v>274</v>
      </c>
      <c r="B22" s="4" t="s">
        <v>275</v>
      </c>
      <c r="C22" s="4" t="str">
        <f t="shared" si="0"/>
        <v>1 &amp; 2 BHK Flat in Kalyan | Best Property</v>
      </c>
      <c r="D22" s="4" t="str">
        <f t="shared" ca="1" si="1"/>
        <v>Last 90 Days</v>
      </c>
      <c r="E22" s="13">
        <v>46029</v>
      </c>
      <c r="F22" s="23">
        <f t="shared" si="2"/>
        <v>46053</v>
      </c>
      <c r="G22" s="5">
        <v>60</v>
      </c>
      <c r="H22" s="5">
        <v>1375</v>
      </c>
      <c r="I22" s="6">
        <v>6.4512</v>
      </c>
      <c r="J22" s="5">
        <v>2</v>
      </c>
      <c r="K22" s="7">
        <v>0.56899999999999995</v>
      </c>
      <c r="L22" s="5">
        <v>3306</v>
      </c>
      <c r="M22" s="6">
        <v>6.56</v>
      </c>
    </row>
    <row r="23" spans="1:13" x14ac:dyDescent="0.35">
      <c r="A23" s="4" t="s">
        <v>393</v>
      </c>
      <c r="B23" s="4" t="s">
        <v>977</v>
      </c>
      <c r="C23" s="4" t="str">
        <f t="shared" si="0"/>
        <v>1BHK Flat Starting From 20Lacs Only | Ha</v>
      </c>
      <c r="D23" s="4" t="str">
        <f t="shared" ca="1" si="1"/>
        <v>Last 90 Days</v>
      </c>
      <c r="E23" s="13">
        <v>46029</v>
      </c>
      <c r="F23" s="23">
        <f t="shared" si="2"/>
        <v>46053</v>
      </c>
      <c r="G23" s="5">
        <v>54</v>
      </c>
      <c r="H23" s="5">
        <v>1140</v>
      </c>
      <c r="I23" s="6">
        <v>4.8726000000000003</v>
      </c>
      <c r="J23" s="5">
        <v>0</v>
      </c>
      <c r="K23" s="7">
        <v>0.51400000000000001</v>
      </c>
      <c r="L23" s="5">
        <v>2218</v>
      </c>
      <c r="M23" s="6">
        <v>5.55</v>
      </c>
    </row>
    <row r="24" spans="1:13" x14ac:dyDescent="0.35">
      <c r="A24" s="4" t="s">
        <v>530</v>
      </c>
      <c r="B24" s="4" t="s">
        <v>531</v>
      </c>
      <c r="C24" s="4" t="str">
        <f t="shared" si="0"/>
        <v>Kalpataru Park City Kolshet Road Thane W</v>
      </c>
      <c r="D24" s="4" t="str">
        <f t="shared" ca="1" si="1"/>
        <v>Last 90 Days</v>
      </c>
      <c r="E24" s="13">
        <v>46026</v>
      </c>
      <c r="F24" s="23">
        <f t="shared" si="2"/>
        <v>46053</v>
      </c>
      <c r="G24" s="5">
        <v>66</v>
      </c>
      <c r="H24" s="5">
        <v>935</v>
      </c>
      <c r="I24" s="6">
        <v>2.4636999999999998</v>
      </c>
      <c r="J24" s="5">
        <v>1</v>
      </c>
      <c r="K24" s="7">
        <v>0.29699999999999999</v>
      </c>
      <c r="L24" s="5">
        <v>1368</v>
      </c>
      <c r="M24" s="6">
        <v>4.3899999999999997</v>
      </c>
    </row>
    <row r="25" spans="1:13" x14ac:dyDescent="0.35">
      <c r="A25" s="4" t="s">
        <v>684</v>
      </c>
      <c r="B25" s="4" t="s">
        <v>685</v>
      </c>
      <c r="C25" s="4" t="str">
        <f t="shared" si="0"/>
        <v xml:space="preserve">Desai Celeste Kalyan West | Luxurious 2 </v>
      </c>
      <c r="D25" s="4" t="str">
        <f t="shared" ca="1" si="1"/>
        <v>Last 90 Days</v>
      </c>
      <c r="E25" s="13">
        <v>46026</v>
      </c>
      <c r="F25" s="23">
        <f t="shared" si="2"/>
        <v>46053</v>
      </c>
      <c r="G25" s="5">
        <v>37</v>
      </c>
      <c r="H25" s="5">
        <v>784</v>
      </c>
      <c r="I25" s="6">
        <v>2.2336999999999998</v>
      </c>
      <c r="J25" s="5">
        <v>0</v>
      </c>
      <c r="K25" s="7">
        <v>0.36899999999999999</v>
      </c>
      <c r="L25" s="5">
        <v>3309</v>
      </c>
      <c r="M25" s="6">
        <v>5.86</v>
      </c>
    </row>
    <row r="26" spans="1:13" x14ac:dyDescent="0.35">
      <c r="A26" s="4" t="s">
        <v>511</v>
      </c>
      <c r="B26" s="4" t="s">
        <v>512</v>
      </c>
      <c r="C26" s="4" t="str">
        <f t="shared" si="0"/>
        <v>Purva Panorama Thane | 2BHK Luxurious Sh</v>
      </c>
      <c r="D26" s="4" t="str">
        <f t="shared" ca="1" si="1"/>
        <v>Last 90 Days</v>
      </c>
      <c r="E26" s="13">
        <v>46025</v>
      </c>
      <c r="F26" s="23">
        <f t="shared" si="2"/>
        <v>46053</v>
      </c>
      <c r="G26" s="5">
        <v>87</v>
      </c>
      <c r="H26" s="5">
        <v>960</v>
      </c>
      <c r="I26" s="6">
        <v>2.8746</v>
      </c>
      <c r="J26" s="5">
        <v>0</v>
      </c>
      <c r="K26" s="7">
        <v>0.51700000000000002</v>
      </c>
      <c r="L26" s="5">
        <v>1931</v>
      </c>
      <c r="M26" s="6">
        <v>4.45</v>
      </c>
    </row>
    <row r="27" spans="1:13" x14ac:dyDescent="0.35">
      <c r="A27" s="4" t="s">
        <v>580</v>
      </c>
      <c r="B27" s="4" t="s">
        <v>995</v>
      </c>
      <c r="C27" s="4" t="str">
        <f t="shared" si="0"/>
        <v>7021988393 | Kalyan West 1 &amp; 2 BHK Fla</v>
      </c>
      <c r="D27" s="4" t="str">
        <f t="shared" ca="1" si="1"/>
        <v>Last 90 Days</v>
      </c>
      <c r="E27" s="13">
        <v>46025</v>
      </c>
      <c r="F27" s="23">
        <f t="shared" si="2"/>
        <v>46053</v>
      </c>
      <c r="G27" s="5">
        <v>54</v>
      </c>
      <c r="H27" s="5">
        <v>870</v>
      </c>
      <c r="I27" s="6">
        <v>2.4237000000000002</v>
      </c>
      <c r="J27" s="5">
        <v>0</v>
      </c>
      <c r="K27" s="7">
        <v>0.307</v>
      </c>
      <c r="L27" s="5">
        <v>2116</v>
      </c>
      <c r="M27" s="6">
        <v>6.14</v>
      </c>
    </row>
    <row r="28" spans="1:13" x14ac:dyDescent="0.35">
      <c r="A28" s="4" t="s">
        <v>724</v>
      </c>
      <c r="B28" s="4" t="s">
        <v>725</v>
      </c>
      <c r="C28" s="4" t="str">
        <f t="shared" si="0"/>
        <v>5BHK with Biggest Balcony in Kalyan West</v>
      </c>
      <c r="D28" s="4" t="str">
        <f t="shared" ca="1" si="1"/>
        <v>Last 90 Days</v>
      </c>
      <c r="E28" s="13">
        <v>46025</v>
      </c>
      <c r="F28" s="23">
        <f t="shared" si="2"/>
        <v>46053</v>
      </c>
      <c r="G28" s="5">
        <v>79</v>
      </c>
      <c r="H28" s="5">
        <v>749</v>
      </c>
      <c r="I28" s="6">
        <v>5.5186999999999999</v>
      </c>
      <c r="J28" s="5">
        <v>0</v>
      </c>
      <c r="K28" s="7">
        <v>0.30199999999999999</v>
      </c>
      <c r="L28" s="5">
        <v>1930</v>
      </c>
      <c r="M28" s="6">
        <v>6.63</v>
      </c>
    </row>
    <row r="29" spans="1:13" x14ac:dyDescent="0.35">
      <c r="A29" s="4" t="s">
        <v>803</v>
      </c>
      <c r="B29" s="4" t="s">
        <v>804</v>
      </c>
      <c r="C29" s="4" t="str">
        <f t="shared" si="0"/>
        <v>Kalyan West 1 BHK Flat | Arihant Aaradhy</v>
      </c>
      <c r="D29" s="4" t="str">
        <f t="shared" ca="1" si="1"/>
        <v>Last 90 Days</v>
      </c>
      <c r="E29" s="13">
        <v>46025</v>
      </c>
      <c r="F29" s="23">
        <f t="shared" si="2"/>
        <v>46053</v>
      </c>
      <c r="G29" s="5">
        <v>90</v>
      </c>
      <c r="H29" s="5">
        <v>660</v>
      </c>
      <c r="I29" s="6">
        <v>1.9107000000000001</v>
      </c>
      <c r="J29" s="5">
        <v>0</v>
      </c>
      <c r="K29" s="7">
        <v>0.17599999999999999</v>
      </c>
      <c r="L29" s="5">
        <v>1010</v>
      </c>
      <c r="M29" s="6">
        <v>5.74</v>
      </c>
    </row>
    <row r="30" spans="1:13" x14ac:dyDescent="0.35">
      <c r="A30" s="4" t="s">
        <v>516</v>
      </c>
      <c r="B30" s="4" t="s">
        <v>517</v>
      </c>
      <c r="C30" s="4" t="str">
        <f t="shared" si="0"/>
        <v>Kalyan West 1 BHK Flat Low Price | Hawar</v>
      </c>
      <c r="D30" s="4" t="str">
        <f t="shared" ca="1" si="1"/>
        <v>Last 90 Days</v>
      </c>
      <c r="E30" s="13">
        <v>46024</v>
      </c>
      <c r="F30" s="23">
        <f t="shared" si="2"/>
        <v>46053</v>
      </c>
      <c r="G30" s="5">
        <v>44</v>
      </c>
      <c r="H30" s="5">
        <v>945</v>
      </c>
      <c r="I30" s="6">
        <v>3.4967999999999999</v>
      </c>
      <c r="J30" s="5">
        <v>4</v>
      </c>
      <c r="K30" s="7">
        <v>0.49299999999999999</v>
      </c>
      <c r="L30" s="5">
        <v>2209</v>
      </c>
      <c r="M30" s="6">
        <v>6.02</v>
      </c>
    </row>
    <row r="31" spans="1:13" x14ac:dyDescent="0.35">
      <c r="A31" s="4" t="s">
        <v>660</v>
      </c>
      <c r="B31" s="4" t="s">
        <v>661</v>
      </c>
      <c r="C31" s="4" t="str">
        <f t="shared" si="0"/>
        <v>Dosti West County Thane West | 2BHK Samp</v>
      </c>
      <c r="D31" s="4" t="str">
        <f t="shared" ca="1" si="1"/>
        <v>Last 90 Days</v>
      </c>
      <c r="E31" s="13">
        <v>46024</v>
      </c>
      <c r="F31" s="23">
        <f t="shared" si="2"/>
        <v>46053</v>
      </c>
      <c r="G31" s="5">
        <v>72</v>
      </c>
      <c r="H31" s="5">
        <v>802</v>
      </c>
      <c r="I31" s="6">
        <v>1.9971000000000001</v>
      </c>
      <c r="J31" s="5">
        <v>0</v>
      </c>
      <c r="K31" s="7">
        <v>0.246</v>
      </c>
      <c r="L31" s="5">
        <v>1616</v>
      </c>
      <c r="M31" s="6">
        <v>5.51</v>
      </c>
    </row>
    <row r="32" spans="1:13" x14ac:dyDescent="0.35">
      <c r="A32" s="4" t="s">
        <v>310</v>
      </c>
      <c r="B32" s="4" t="s">
        <v>311</v>
      </c>
      <c r="C32" s="4" t="str">
        <f t="shared" si="0"/>
        <v>Balaji Sarvoday Thakurli 2 BHK Sample Fl</v>
      </c>
      <c r="D32" s="4" t="str">
        <f t="shared" ca="1" si="1"/>
        <v>Last 90 Days</v>
      </c>
      <c r="E32" s="13">
        <v>46022</v>
      </c>
      <c r="F32" s="23">
        <f t="shared" si="2"/>
        <v>46022</v>
      </c>
      <c r="G32" s="5">
        <v>46</v>
      </c>
      <c r="H32" s="5">
        <v>1280</v>
      </c>
      <c r="I32" s="6">
        <v>4.9279000000000002</v>
      </c>
      <c r="J32" s="5">
        <v>0</v>
      </c>
      <c r="K32" s="7">
        <v>0.624</v>
      </c>
      <c r="L32" s="5">
        <v>2354</v>
      </c>
      <c r="M32" s="6">
        <v>9.52</v>
      </c>
    </row>
    <row r="33" spans="1:13" x14ac:dyDescent="0.35">
      <c r="A33" s="4" t="s">
        <v>742</v>
      </c>
      <c r="B33" s="4" t="s">
        <v>743</v>
      </c>
      <c r="C33" s="4" t="str">
        <f t="shared" si="0"/>
        <v>Kohinoor Eden Kalyan East | 1 &amp; 2 BHK Sa</v>
      </c>
      <c r="D33" s="4" t="str">
        <f t="shared" ca="1" si="1"/>
        <v>Last 90 Days</v>
      </c>
      <c r="E33" s="13">
        <v>46022</v>
      </c>
      <c r="F33" s="23">
        <f t="shared" si="2"/>
        <v>46022</v>
      </c>
      <c r="G33" s="5">
        <v>186</v>
      </c>
      <c r="H33" s="5">
        <v>731</v>
      </c>
      <c r="I33" s="6">
        <v>19.166399999999999</v>
      </c>
      <c r="J33" s="5">
        <v>2</v>
      </c>
      <c r="K33" s="7">
        <v>50.521000000000001</v>
      </c>
      <c r="L33" s="5">
        <v>5116</v>
      </c>
      <c r="M33" s="6">
        <v>12.35</v>
      </c>
    </row>
    <row r="34" spans="1:13" x14ac:dyDescent="0.35">
      <c r="A34" s="4" t="s">
        <v>454</v>
      </c>
      <c r="B34" s="4" t="s">
        <v>992</v>
      </c>
      <c r="C34" s="4" t="str">
        <f t="shared" si="0"/>
        <v xml:space="preserve">Heaven Enclave Kalyan West | 2 &amp; 3 BHK </v>
      </c>
      <c r="D34" s="4" t="str">
        <f t="shared" ca="1" si="1"/>
        <v>Last 90 Days</v>
      </c>
      <c r="E34" s="13">
        <v>46021</v>
      </c>
      <c r="F34" s="23">
        <f t="shared" si="2"/>
        <v>46022</v>
      </c>
      <c r="G34" s="5">
        <v>41</v>
      </c>
      <c r="H34" s="5">
        <v>1038</v>
      </c>
      <c r="I34" s="6">
        <v>2.3111999999999999</v>
      </c>
      <c r="J34" s="5">
        <v>0</v>
      </c>
      <c r="K34" s="7">
        <v>0.33200000000000002</v>
      </c>
      <c r="L34" s="5">
        <v>1161</v>
      </c>
      <c r="M34" s="6">
        <v>3.96</v>
      </c>
    </row>
    <row r="35" spans="1:13" x14ac:dyDescent="0.35">
      <c r="A35" s="4" t="s">
        <v>596</v>
      </c>
      <c r="B35" s="4" t="s">
        <v>597</v>
      </c>
      <c r="C35" s="4" t="str">
        <f t="shared" si="0"/>
        <v>Kalyan West 2 BHK Flat For Sale | Latest</v>
      </c>
      <c r="D35" s="4" t="str">
        <f t="shared" ca="1" si="1"/>
        <v>Last 90 Days</v>
      </c>
      <c r="E35" s="13">
        <v>46021</v>
      </c>
      <c r="F35" s="23">
        <f t="shared" si="2"/>
        <v>46022</v>
      </c>
      <c r="G35" s="5">
        <v>83</v>
      </c>
      <c r="H35" s="5">
        <v>846</v>
      </c>
      <c r="I35" s="6">
        <v>4.1250999999999998</v>
      </c>
      <c r="J35" s="5">
        <v>2</v>
      </c>
      <c r="K35" s="7">
        <v>0.35299999999999998</v>
      </c>
      <c r="L35" s="5">
        <v>835</v>
      </c>
      <c r="M35" s="6">
        <v>4.67</v>
      </c>
    </row>
    <row r="36" spans="1:13" x14ac:dyDescent="0.35">
      <c r="A36" s="4" t="s">
        <v>824</v>
      </c>
      <c r="B36" s="4" t="s">
        <v>825</v>
      </c>
      <c r="C36" s="4" t="str">
        <f t="shared" si="0"/>
        <v>Veer Hills Thane West Project | 1 &amp; 2 BH</v>
      </c>
      <c r="D36" s="4" t="str">
        <f t="shared" ca="1" si="1"/>
        <v>Last 90 Days</v>
      </c>
      <c r="E36" s="13">
        <v>46021</v>
      </c>
      <c r="F36" s="23">
        <f t="shared" si="2"/>
        <v>46022</v>
      </c>
      <c r="G36" s="5">
        <v>41</v>
      </c>
      <c r="H36" s="5">
        <v>635</v>
      </c>
      <c r="I36" s="6">
        <v>1.6830000000000001</v>
      </c>
      <c r="J36" s="5">
        <v>1</v>
      </c>
      <c r="K36" s="7">
        <v>0.51400000000000001</v>
      </c>
      <c r="L36" s="5">
        <v>1770</v>
      </c>
      <c r="M36" s="6">
        <v>6.67</v>
      </c>
    </row>
    <row r="37" spans="1:13" x14ac:dyDescent="0.35">
      <c r="A37" s="4" t="s">
        <v>369</v>
      </c>
      <c r="B37" s="4" t="s">
        <v>370</v>
      </c>
      <c r="C37" s="4" t="str">
        <f t="shared" si="0"/>
        <v>Mega Pearl Titwala | 1BHK Actual Flat To</v>
      </c>
      <c r="D37" s="4" t="str">
        <f t="shared" ca="1" si="1"/>
        <v>Last 90 Days</v>
      </c>
      <c r="E37" s="13">
        <v>46019</v>
      </c>
      <c r="F37" s="23">
        <f t="shared" si="2"/>
        <v>46022</v>
      </c>
      <c r="G37" s="5">
        <v>58</v>
      </c>
      <c r="H37" s="5">
        <v>1168</v>
      </c>
      <c r="I37" s="6">
        <v>5.2217000000000002</v>
      </c>
      <c r="J37" s="5">
        <v>2</v>
      </c>
      <c r="K37" s="7">
        <v>0.62</v>
      </c>
      <c r="L37" s="5">
        <v>3744</v>
      </c>
      <c r="M37" s="6">
        <v>8.84</v>
      </c>
    </row>
    <row r="38" spans="1:13" x14ac:dyDescent="0.35">
      <c r="A38" s="4" t="s">
        <v>631</v>
      </c>
      <c r="B38" s="4" t="s">
        <v>940</v>
      </c>
      <c r="C38" s="4" t="str">
        <f t="shared" si="0"/>
        <v xml:space="preserve">Atlanta Avadh Shahad 7021988393 1 &amp; 2 </v>
      </c>
      <c r="D38" s="4" t="str">
        <f t="shared" ca="1" si="1"/>
        <v>Last 90 Days</v>
      </c>
      <c r="E38" s="13">
        <v>46019</v>
      </c>
      <c r="F38" s="23">
        <f t="shared" si="2"/>
        <v>46022</v>
      </c>
      <c r="G38" s="5">
        <v>46</v>
      </c>
      <c r="H38" s="5">
        <v>827</v>
      </c>
      <c r="I38" s="6">
        <v>2.8075999999999999</v>
      </c>
      <c r="J38" s="5">
        <v>0</v>
      </c>
      <c r="K38" s="7">
        <v>0.56899999999999995</v>
      </c>
      <c r="L38" s="5">
        <v>2442</v>
      </c>
      <c r="M38" s="6">
        <v>6.88</v>
      </c>
    </row>
    <row r="39" spans="1:13" x14ac:dyDescent="0.35">
      <c r="A39" s="4" t="s">
        <v>662</v>
      </c>
      <c r="B39" s="4" t="s">
        <v>663</v>
      </c>
      <c r="C39" s="4" t="str">
        <f t="shared" si="0"/>
        <v xml:space="preserve">Piramal Vaikunth Thane | 1 &amp; 2 BHK Flat </v>
      </c>
      <c r="D39" s="4" t="str">
        <f t="shared" ca="1" si="1"/>
        <v>Last 90 Days</v>
      </c>
      <c r="E39" s="13">
        <v>46019</v>
      </c>
      <c r="F39" s="23">
        <f t="shared" si="2"/>
        <v>46022</v>
      </c>
      <c r="G39" s="5">
        <v>347</v>
      </c>
      <c r="H39" s="5">
        <v>800</v>
      </c>
      <c r="I39" s="6">
        <v>26.5352</v>
      </c>
      <c r="J39" s="5">
        <v>0</v>
      </c>
      <c r="K39" s="7">
        <v>61.156999999999996</v>
      </c>
      <c r="L39" s="5">
        <v>8264</v>
      </c>
      <c r="M39" s="6">
        <v>8.2899999999999991</v>
      </c>
    </row>
    <row r="40" spans="1:13" x14ac:dyDescent="0.35">
      <c r="A40" s="4" t="s">
        <v>686</v>
      </c>
      <c r="B40" s="4" t="s">
        <v>687</v>
      </c>
      <c r="C40" s="4" t="str">
        <f t="shared" si="0"/>
        <v>1 BHK Flat for Sale in Kalyan East | Kal</v>
      </c>
      <c r="D40" s="4" t="str">
        <f t="shared" ca="1" si="1"/>
        <v>Last 90 Days</v>
      </c>
      <c r="E40" s="13">
        <v>46019</v>
      </c>
      <c r="F40" s="23">
        <f t="shared" si="2"/>
        <v>46022</v>
      </c>
      <c r="G40" s="5">
        <v>40</v>
      </c>
      <c r="H40" s="5">
        <v>783</v>
      </c>
      <c r="I40" s="6">
        <v>2.5419</v>
      </c>
      <c r="J40" s="5">
        <v>1</v>
      </c>
      <c r="K40" s="7">
        <v>0.36599999999999999</v>
      </c>
      <c r="L40" s="5">
        <v>1853</v>
      </c>
      <c r="M40" s="6">
        <v>6.85</v>
      </c>
    </row>
    <row r="41" spans="1:13" x14ac:dyDescent="0.35">
      <c r="A41" s="4" t="s">
        <v>327</v>
      </c>
      <c r="B41" s="4" t="s">
        <v>328</v>
      </c>
      <c r="C41" s="4" t="str">
        <f t="shared" si="0"/>
        <v>Kohinoor Anaya Ulhasnagar | Project Mode</v>
      </c>
      <c r="D41" s="4" t="str">
        <f t="shared" ca="1" si="1"/>
        <v>Last 90 Days</v>
      </c>
      <c r="E41" s="13">
        <v>46018</v>
      </c>
      <c r="F41" s="23">
        <f t="shared" si="2"/>
        <v>46022</v>
      </c>
      <c r="G41" s="5">
        <v>51</v>
      </c>
      <c r="H41" s="5">
        <v>1253</v>
      </c>
      <c r="I41" s="6">
        <v>4.0956999999999999</v>
      </c>
      <c r="J41" s="5">
        <v>0</v>
      </c>
      <c r="K41" s="7">
        <v>0.63700000000000001</v>
      </c>
      <c r="L41" s="5">
        <v>2423</v>
      </c>
      <c r="M41" s="6">
        <v>3.38</v>
      </c>
    </row>
    <row r="42" spans="1:13" x14ac:dyDescent="0.35">
      <c r="A42" s="4" t="s">
        <v>833</v>
      </c>
      <c r="B42" s="4" t="s">
        <v>834</v>
      </c>
      <c r="C42" s="4" t="str">
        <f t="shared" si="0"/>
        <v>Thane West 1 BHK Flat | Thane 1 BHK flat</v>
      </c>
      <c r="D42" s="4" t="str">
        <f t="shared" ca="1" si="1"/>
        <v>Last 90 Days</v>
      </c>
      <c r="E42" s="13">
        <v>46018</v>
      </c>
      <c r="F42" s="23">
        <f t="shared" si="2"/>
        <v>46022</v>
      </c>
      <c r="G42" s="5">
        <v>43</v>
      </c>
      <c r="H42" s="5">
        <v>631</v>
      </c>
      <c r="I42" s="6">
        <v>1.9703999999999999</v>
      </c>
      <c r="J42" s="5">
        <v>2</v>
      </c>
      <c r="K42" s="7">
        <v>0.34200000000000003</v>
      </c>
      <c r="L42" s="5">
        <v>1336</v>
      </c>
      <c r="M42" s="6">
        <v>6.44</v>
      </c>
    </row>
    <row r="43" spans="1:13" x14ac:dyDescent="0.35">
      <c r="A43" s="4" t="s">
        <v>644</v>
      </c>
      <c r="B43" s="4" t="s">
        <v>645</v>
      </c>
      <c r="C43" s="4" t="str">
        <f t="shared" si="0"/>
        <v>Saket Ayodhya City Kalyan East | Saket N</v>
      </c>
      <c r="D43" s="4" t="str">
        <f t="shared" ca="1" si="1"/>
        <v>Last 90 Days</v>
      </c>
      <c r="E43" s="13">
        <v>46017</v>
      </c>
      <c r="F43" s="23">
        <f t="shared" si="2"/>
        <v>46022</v>
      </c>
      <c r="G43" s="5">
        <v>89</v>
      </c>
      <c r="H43" s="5">
        <v>817</v>
      </c>
      <c r="I43" s="6">
        <v>4.0063000000000004</v>
      </c>
      <c r="J43" s="5">
        <v>1</v>
      </c>
      <c r="K43" s="7">
        <v>0.49199999999999999</v>
      </c>
      <c r="L43" s="5">
        <v>2787</v>
      </c>
      <c r="M43" s="6">
        <v>6.42</v>
      </c>
    </row>
    <row r="44" spans="1:13" x14ac:dyDescent="0.35">
      <c r="A44" s="4" t="s">
        <v>432</v>
      </c>
      <c r="B44" s="4" t="s">
        <v>433</v>
      </c>
      <c r="C44" s="4" t="str">
        <f t="shared" si="0"/>
        <v>2 BHK Flat in Dombivli East | 2 BHK Flat</v>
      </c>
      <c r="D44" s="4" t="str">
        <f t="shared" ca="1" si="1"/>
        <v>Last 90 Days</v>
      </c>
      <c r="E44" s="13">
        <v>46016</v>
      </c>
      <c r="F44" s="23">
        <f t="shared" si="2"/>
        <v>46022</v>
      </c>
      <c r="G44" s="5">
        <v>71</v>
      </c>
      <c r="H44" s="5">
        <v>1056</v>
      </c>
      <c r="I44" s="6">
        <v>2.8607999999999998</v>
      </c>
      <c r="J44" s="5">
        <v>1</v>
      </c>
      <c r="K44" s="7">
        <v>0.41699999999999998</v>
      </c>
      <c r="L44" s="5">
        <v>1554</v>
      </c>
      <c r="M44" s="6">
        <v>5.47</v>
      </c>
    </row>
    <row r="45" spans="1:13" x14ac:dyDescent="0.35">
      <c r="A45" s="4" t="s">
        <v>437</v>
      </c>
      <c r="B45" s="4" t="s">
        <v>438</v>
      </c>
      <c r="C45" s="4" t="str">
        <f t="shared" si="0"/>
        <v>Call 7021988393 | Waah Taj Kalyan West |</v>
      </c>
      <c r="D45" s="4" t="str">
        <f t="shared" ca="1" si="1"/>
        <v>Last 90 Days</v>
      </c>
      <c r="E45" s="13">
        <v>46014</v>
      </c>
      <c r="F45" s="23">
        <f t="shared" si="2"/>
        <v>46022</v>
      </c>
      <c r="G45" s="5">
        <v>29</v>
      </c>
      <c r="H45" s="5">
        <v>1054</v>
      </c>
      <c r="I45" s="6">
        <v>1.9562999999999999</v>
      </c>
      <c r="J45" s="5">
        <v>1</v>
      </c>
      <c r="K45" s="7">
        <v>0.39800000000000002</v>
      </c>
      <c r="L45" s="5">
        <v>1489</v>
      </c>
      <c r="M45" s="6">
        <v>4.5</v>
      </c>
    </row>
    <row r="46" spans="1:13" x14ac:dyDescent="0.35">
      <c r="A46" s="4" t="s">
        <v>620</v>
      </c>
      <c r="B46" s="4" t="s">
        <v>621</v>
      </c>
      <c r="C46" s="4" t="str">
        <f t="shared" si="0"/>
        <v>Call 7021988393 | Rai Galaxy Kalyan East</v>
      </c>
      <c r="D46" s="4" t="str">
        <f t="shared" ca="1" si="1"/>
        <v>Last 90 Days</v>
      </c>
      <c r="E46" s="13">
        <v>46014</v>
      </c>
      <c r="F46" s="23">
        <f t="shared" si="2"/>
        <v>46022</v>
      </c>
      <c r="G46" s="5">
        <v>45</v>
      </c>
      <c r="H46" s="5">
        <v>832</v>
      </c>
      <c r="I46" s="6">
        <v>2.3344</v>
      </c>
      <c r="J46" s="5">
        <v>1</v>
      </c>
      <c r="K46" s="7">
        <v>0.33900000000000002</v>
      </c>
      <c r="L46" s="5">
        <v>1965</v>
      </c>
      <c r="M46" s="6">
        <v>8.14</v>
      </c>
    </row>
    <row r="47" spans="1:13" x14ac:dyDescent="0.35">
      <c r="A47" s="4" t="s">
        <v>822</v>
      </c>
      <c r="B47" s="4" t="s">
        <v>823</v>
      </c>
      <c r="C47" s="4" t="str">
        <f t="shared" si="0"/>
        <v>2 BHK Flat for Sale in Kalyan East | 2 B</v>
      </c>
      <c r="D47" s="4" t="str">
        <f t="shared" ca="1" si="1"/>
        <v>Last 90 Days</v>
      </c>
      <c r="E47" s="13">
        <v>46014</v>
      </c>
      <c r="F47" s="23">
        <f t="shared" si="2"/>
        <v>46022</v>
      </c>
      <c r="G47" s="5">
        <v>79</v>
      </c>
      <c r="H47" s="5">
        <v>636</v>
      </c>
      <c r="I47" s="6">
        <v>2.1372</v>
      </c>
      <c r="J47" s="5">
        <v>1</v>
      </c>
      <c r="K47" s="7">
        <v>0.31900000000000001</v>
      </c>
      <c r="L47" s="5">
        <v>1296</v>
      </c>
      <c r="M47" s="6">
        <v>6.4</v>
      </c>
    </row>
    <row r="48" spans="1:13" x14ac:dyDescent="0.35">
      <c r="A48" s="4" t="s">
        <v>356</v>
      </c>
      <c r="B48" s="4" t="s">
        <v>357</v>
      </c>
      <c r="C48" s="4" t="str">
        <f t="shared" si="0"/>
        <v>Call 7021988393 | Sahyadri Elite 1BHk Sa</v>
      </c>
      <c r="D48" s="4" t="str">
        <f t="shared" ca="1" si="1"/>
        <v>Last 90 Days</v>
      </c>
      <c r="E48" s="13">
        <v>46012</v>
      </c>
      <c r="F48" s="23">
        <f t="shared" si="2"/>
        <v>46022</v>
      </c>
      <c r="G48" s="5">
        <v>78</v>
      </c>
      <c r="H48" s="5">
        <v>1207</v>
      </c>
      <c r="I48" s="6">
        <v>3.5874000000000001</v>
      </c>
      <c r="J48" s="5">
        <v>7</v>
      </c>
      <c r="K48" s="7">
        <v>0.57499999999999996</v>
      </c>
      <c r="L48" s="5">
        <v>2030</v>
      </c>
      <c r="M48" s="6">
        <v>6.4</v>
      </c>
    </row>
    <row r="49" spans="1:13" x14ac:dyDescent="0.35">
      <c r="A49" s="4" t="s">
        <v>461</v>
      </c>
      <c r="B49" s="4" t="s">
        <v>462</v>
      </c>
      <c r="C49" s="4" t="str">
        <f t="shared" si="0"/>
        <v>1 &amp; 2 BHK Flats in Thakurli | Full Proje</v>
      </c>
      <c r="D49" s="4" t="str">
        <f t="shared" ca="1" si="1"/>
        <v>Last 90 Days</v>
      </c>
      <c r="E49" s="13">
        <v>46011</v>
      </c>
      <c r="F49" s="23">
        <f t="shared" si="2"/>
        <v>46022</v>
      </c>
      <c r="G49" s="5">
        <v>59</v>
      </c>
      <c r="H49" s="5">
        <v>1021</v>
      </c>
      <c r="I49" s="6">
        <v>2.7202999999999999</v>
      </c>
      <c r="J49" s="5">
        <v>0</v>
      </c>
      <c r="K49" s="7">
        <v>0.82699999999999996</v>
      </c>
      <c r="L49" s="5">
        <v>1636</v>
      </c>
      <c r="M49" s="6">
        <v>7.03</v>
      </c>
    </row>
    <row r="50" spans="1:13" x14ac:dyDescent="0.35">
      <c r="A50" s="4" t="s">
        <v>558</v>
      </c>
      <c r="B50" s="4" t="s">
        <v>559</v>
      </c>
      <c r="C50" s="4" t="str">
        <f t="shared" si="0"/>
        <v>Call 7021988393 | 3BHK Luxury Flat in Ka</v>
      </c>
      <c r="D50" s="4" t="str">
        <f t="shared" ca="1" si="1"/>
        <v>Last 90 Days</v>
      </c>
      <c r="E50" s="13">
        <v>46011</v>
      </c>
      <c r="F50" s="23">
        <f t="shared" si="2"/>
        <v>46022</v>
      </c>
      <c r="G50" s="5">
        <v>109</v>
      </c>
      <c r="H50" s="5">
        <v>901</v>
      </c>
      <c r="I50" s="6">
        <v>1.7501</v>
      </c>
      <c r="J50" s="5">
        <v>0</v>
      </c>
      <c r="K50" s="7">
        <v>0.17899999999999999</v>
      </c>
      <c r="L50" s="5">
        <v>989</v>
      </c>
      <c r="M50" s="6">
        <v>5.0599999999999996</v>
      </c>
    </row>
    <row r="51" spans="1:13" x14ac:dyDescent="0.35">
      <c r="A51" s="4" t="s">
        <v>594</v>
      </c>
      <c r="B51" s="4" t="s">
        <v>595</v>
      </c>
      <c r="C51" s="4" t="str">
        <f t="shared" si="0"/>
        <v>Call 7021988393 | Kohinoor Eden Kalyan E</v>
      </c>
      <c r="D51" s="4" t="str">
        <f t="shared" ca="1" si="1"/>
        <v>Last 90 Days</v>
      </c>
      <c r="E51" s="13">
        <v>46010</v>
      </c>
      <c r="F51" s="23">
        <f t="shared" si="2"/>
        <v>46022</v>
      </c>
      <c r="G51" s="5">
        <v>68</v>
      </c>
      <c r="H51" s="5">
        <v>848</v>
      </c>
      <c r="I51" s="6">
        <v>3.569</v>
      </c>
      <c r="J51" s="5">
        <v>1</v>
      </c>
      <c r="K51" s="7">
        <v>0.48199999999999998</v>
      </c>
      <c r="L51" s="5">
        <v>2079</v>
      </c>
      <c r="M51" s="6">
        <v>6.73</v>
      </c>
    </row>
    <row r="52" spans="1:13" x14ac:dyDescent="0.35">
      <c r="A52" s="4" t="s">
        <v>279</v>
      </c>
      <c r="B52" s="4" t="s">
        <v>280</v>
      </c>
      <c r="C52" s="4" t="str">
        <f t="shared" si="0"/>
        <v>Premium 2.5 BHK in Sai World Dreams Domb</v>
      </c>
      <c r="D52" s="4" t="str">
        <f t="shared" ca="1" si="1"/>
        <v>Last 90 Days</v>
      </c>
      <c r="E52" s="13">
        <v>46009</v>
      </c>
      <c r="F52" s="23">
        <f t="shared" si="2"/>
        <v>46022</v>
      </c>
      <c r="G52" s="5">
        <v>60</v>
      </c>
      <c r="H52" s="5">
        <v>1351</v>
      </c>
      <c r="I52" s="6">
        <v>3.9260999999999999</v>
      </c>
      <c r="J52" s="5">
        <v>1</v>
      </c>
      <c r="K52" s="7">
        <v>0.58199999999999996</v>
      </c>
      <c r="L52" s="5">
        <v>2599</v>
      </c>
      <c r="M52" s="6">
        <v>6.39</v>
      </c>
    </row>
    <row r="53" spans="1:13" x14ac:dyDescent="0.35">
      <c r="A53" s="4" t="s">
        <v>358</v>
      </c>
      <c r="B53" s="4" t="s">
        <v>359</v>
      </c>
      <c r="C53" s="4" t="str">
        <f t="shared" si="0"/>
        <v>Call 7021988393 | Sai World Dreams Dombi</v>
      </c>
      <c r="D53" s="4" t="str">
        <f t="shared" ca="1" si="1"/>
        <v>Last 90 Days</v>
      </c>
      <c r="E53" s="13">
        <v>46009</v>
      </c>
      <c r="F53" s="23">
        <f t="shared" si="2"/>
        <v>46022</v>
      </c>
      <c r="G53" s="5">
        <v>88</v>
      </c>
      <c r="H53" s="5">
        <v>1200</v>
      </c>
      <c r="I53" s="6">
        <v>8.2568000000000001</v>
      </c>
      <c r="J53" s="5">
        <v>1</v>
      </c>
      <c r="K53" s="7">
        <v>0.66700000000000004</v>
      </c>
      <c r="L53" s="5">
        <v>3469</v>
      </c>
      <c r="M53" s="6">
        <v>7.03</v>
      </c>
    </row>
    <row r="54" spans="1:13" x14ac:dyDescent="0.35">
      <c r="A54" s="4" t="s">
        <v>614</v>
      </c>
      <c r="B54" s="4" t="s">
        <v>939</v>
      </c>
      <c r="C54" s="4" t="str">
        <f t="shared" si="0"/>
        <v>7021988393Atlanta Avadh Shahad - 1 &amp; 2</v>
      </c>
      <c r="D54" s="4" t="str">
        <f t="shared" ca="1" si="1"/>
        <v>Last 90 Days</v>
      </c>
      <c r="E54" s="13">
        <v>46009</v>
      </c>
      <c r="F54" s="23">
        <f t="shared" si="2"/>
        <v>46022</v>
      </c>
      <c r="G54" s="5">
        <v>17</v>
      </c>
      <c r="H54" s="5">
        <v>840</v>
      </c>
      <c r="I54" s="6">
        <v>0.80810000000000004</v>
      </c>
      <c r="J54" s="5">
        <v>0</v>
      </c>
      <c r="K54" s="7">
        <v>0.14199999999999999</v>
      </c>
      <c r="L54" s="5">
        <v>1402</v>
      </c>
      <c r="M54" s="6">
        <v>6.13</v>
      </c>
    </row>
    <row r="55" spans="1:13" x14ac:dyDescent="0.35">
      <c r="A55" s="4" t="s">
        <v>336</v>
      </c>
      <c r="B55" s="4" t="s">
        <v>337</v>
      </c>
      <c r="C55" s="4" t="str">
        <f t="shared" si="0"/>
        <v>Rusttagi Aarambha 1 BHK Flat for Sale in</v>
      </c>
      <c r="D55" s="4" t="str">
        <f t="shared" ca="1" si="1"/>
        <v>Last 90 Days</v>
      </c>
      <c r="E55" s="13">
        <v>46008</v>
      </c>
      <c r="F55" s="23">
        <f t="shared" si="2"/>
        <v>46022</v>
      </c>
      <c r="G55" s="5">
        <v>55</v>
      </c>
      <c r="H55" s="5">
        <v>1235</v>
      </c>
      <c r="I55" s="6">
        <v>5.8745000000000003</v>
      </c>
      <c r="J55" s="5">
        <v>2</v>
      </c>
      <c r="K55" s="7">
        <v>0.60199999999999998</v>
      </c>
      <c r="L55" s="5">
        <v>2753</v>
      </c>
      <c r="M55" s="6">
        <v>8.06</v>
      </c>
    </row>
    <row r="56" spans="1:13" x14ac:dyDescent="0.35">
      <c r="A56" s="4" t="s">
        <v>89</v>
      </c>
      <c r="B56" s="4" t="s">
        <v>889</v>
      </c>
      <c r="C56" s="4" t="str">
        <f t="shared" si="0"/>
        <v>1 BHK Flat for Sale | Saket Nature Vista</v>
      </c>
      <c r="D56" s="4" t="str">
        <f t="shared" ca="1" si="1"/>
        <v>Last 90 Days</v>
      </c>
      <c r="E56" s="13">
        <v>46007</v>
      </c>
      <c r="F56" s="23">
        <f t="shared" si="2"/>
        <v>46022</v>
      </c>
      <c r="G56" s="5">
        <v>45</v>
      </c>
      <c r="H56" s="5">
        <v>2416</v>
      </c>
      <c r="I56" s="6">
        <v>8.5599000000000007</v>
      </c>
      <c r="J56" s="5">
        <v>1</v>
      </c>
      <c r="K56" s="7">
        <v>1.145</v>
      </c>
      <c r="L56" s="5">
        <v>4041</v>
      </c>
      <c r="M56" s="6">
        <v>6.36</v>
      </c>
    </row>
    <row r="57" spans="1:13" x14ac:dyDescent="0.35">
      <c r="A57" s="4" t="s">
        <v>323</v>
      </c>
      <c r="B57" s="4" t="s">
        <v>982</v>
      </c>
      <c r="C57" s="4" t="str">
        <f t="shared" si="0"/>
        <v xml:space="preserve">Near Station 1BHK Flat | Limited Flats </v>
      </c>
      <c r="D57" s="4" t="str">
        <f t="shared" ca="1" si="1"/>
        <v>Last 90 Days</v>
      </c>
      <c r="E57" s="13">
        <v>46005</v>
      </c>
      <c r="F57" s="23">
        <f t="shared" si="2"/>
        <v>46022</v>
      </c>
      <c r="G57" s="5">
        <v>58</v>
      </c>
      <c r="H57" s="5">
        <v>1264</v>
      </c>
      <c r="I57" s="6">
        <v>4.1852999999999998</v>
      </c>
      <c r="J57" s="5">
        <v>1</v>
      </c>
      <c r="K57" s="7">
        <v>0.48</v>
      </c>
      <c r="L57" s="5">
        <v>912</v>
      </c>
      <c r="M57" s="6">
        <v>4.17</v>
      </c>
    </row>
    <row r="58" spans="1:13" x14ac:dyDescent="0.35">
      <c r="A58" s="4" t="s">
        <v>468</v>
      </c>
      <c r="B58" s="4" t="s">
        <v>469</v>
      </c>
      <c r="C58" s="4" t="str">
        <f t="shared" si="0"/>
        <v>Spacious 2 BHK Homes in Kalyan West | Sa</v>
      </c>
      <c r="D58" s="4" t="str">
        <f t="shared" ca="1" si="1"/>
        <v>Last 90 Days</v>
      </c>
      <c r="E58" s="13">
        <v>46005</v>
      </c>
      <c r="F58" s="23">
        <f t="shared" si="2"/>
        <v>46022</v>
      </c>
      <c r="G58" s="5">
        <v>62</v>
      </c>
      <c r="H58" s="5">
        <v>1002</v>
      </c>
      <c r="I58" s="6">
        <v>4.96</v>
      </c>
      <c r="J58" s="5">
        <v>0</v>
      </c>
      <c r="K58" s="7">
        <v>0.46800000000000003</v>
      </c>
      <c r="L58" s="5">
        <v>2331</v>
      </c>
      <c r="M58" s="6">
        <v>8.24</v>
      </c>
    </row>
    <row r="59" spans="1:13" x14ac:dyDescent="0.35">
      <c r="A59" s="4" t="s">
        <v>233</v>
      </c>
      <c r="B59" s="4" t="s">
        <v>970</v>
      </c>
      <c r="C59" s="4" t="str">
        <f t="shared" si="0"/>
        <v>1BHK @45.99 Lakhs… 2BHK @65.66 Lakhs “T</v>
      </c>
      <c r="D59" s="4" t="str">
        <f t="shared" ca="1" si="1"/>
        <v>Last 90 Days</v>
      </c>
      <c r="E59" s="13">
        <v>46004</v>
      </c>
      <c r="F59" s="23">
        <f t="shared" si="2"/>
        <v>46022</v>
      </c>
      <c r="G59" s="5">
        <v>65</v>
      </c>
      <c r="H59" s="5">
        <v>1527</v>
      </c>
      <c r="I59" s="6">
        <v>7.5301</v>
      </c>
      <c r="J59" s="5">
        <v>0</v>
      </c>
      <c r="K59" s="7">
        <v>0.68500000000000005</v>
      </c>
      <c r="L59" s="5">
        <v>2180</v>
      </c>
      <c r="M59" s="6">
        <v>6.74</v>
      </c>
    </row>
    <row r="60" spans="1:13" x14ac:dyDescent="0.35">
      <c r="A60" s="4" t="s">
        <v>547</v>
      </c>
      <c r="B60" s="4" t="s">
        <v>548</v>
      </c>
      <c r="C60" s="4" t="str">
        <f t="shared" si="0"/>
        <v xml:space="preserve">Live Dubai Life in Dombivli | Sai World </v>
      </c>
      <c r="D60" s="4" t="str">
        <f t="shared" ca="1" si="1"/>
        <v>Last 90 Days</v>
      </c>
      <c r="E60" s="13">
        <v>46004</v>
      </c>
      <c r="F60" s="23">
        <f t="shared" si="2"/>
        <v>46022</v>
      </c>
      <c r="G60" s="5">
        <v>91</v>
      </c>
      <c r="H60" s="5">
        <v>919</v>
      </c>
      <c r="I60" s="6">
        <v>4.0193000000000003</v>
      </c>
      <c r="J60" s="5">
        <v>0</v>
      </c>
      <c r="K60" s="7">
        <v>0.57199999999999995</v>
      </c>
      <c r="L60" s="5">
        <v>2610</v>
      </c>
      <c r="M60" s="6">
        <v>7.59</v>
      </c>
    </row>
    <row r="61" spans="1:13" x14ac:dyDescent="0.35">
      <c r="A61" s="4" t="s">
        <v>839</v>
      </c>
      <c r="B61" s="4" t="s">
        <v>840</v>
      </c>
      <c r="C61" s="4" t="str">
        <f t="shared" si="0"/>
        <v xml:space="preserve">Call 7021988393 | 1BHK Spacious Home in </v>
      </c>
      <c r="D61" s="4" t="str">
        <f t="shared" ca="1" si="1"/>
        <v>Last 90 Days</v>
      </c>
      <c r="E61" s="13">
        <v>46004</v>
      </c>
      <c r="F61" s="23">
        <f t="shared" si="2"/>
        <v>46022</v>
      </c>
      <c r="G61" s="5">
        <v>57</v>
      </c>
      <c r="H61" s="5">
        <v>629</v>
      </c>
      <c r="I61" s="6">
        <v>2.3801000000000001</v>
      </c>
      <c r="J61" s="5">
        <v>0</v>
      </c>
      <c r="K61" s="7">
        <v>0.311</v>
      </c>
      <c r="L61" s="5">
        <v>901</v>
      </c>
      <c r="M61" s="6">
        <v>6.44</v>
      </c>
    </row>
    <row r="62" spans="1:13" x14ac:dyDescent="0.35">
      <c r="A62" s="4" t="s">
        <v>849</v>
      </c>
      <c r="B62" s="4" t="s">
        <v>850</v>
      </c>
      <c r="C62" s="4" t="str">
        <f t="shared" si="0"/>
        <v>Luxury 2 BHK in Kalyan West | Palika Jun</v>
      </c>
      <c r="D62" s="4" t="str">
        <f t="shared" ca="1" si="1"/>
        <v>Last 90 Days</v>
      </c>
      <c r="E62" s="13">
        <v>46003</v>
      </c>
      <c r="F62" s="23">
        <f t="shared" si="2"/>
        <v>46022</v>
      </c>
      <c r="G62" s="5">
        <v>62</v>
      </c>
      <c r="H62" s="5">
        <v>618</v>
      </c>
      <c r="I62" s="6">
        <v>2.9763000000000002</v>
      </c>
      <c r="J62" s="5">
        <v>0</v>
      </c>
      <c r="K62" s="7">
        <v>0.28299999999999997</v>
      </c>
      <c r="L62" s="5">
        <v>1941</v>
      </c>
      <c r="M62" s="6">
        <v>7.32</v>
      </c>
    </row>
    <row r="63" spans="1:13" x14ac:dyDescent="0.35">
      <c r="A63" s="4" t="s">
        <v>18</v>
      </c>
      <c r="B63" s="4" t="s">
        <v>930</v>
      </c>
      <c r="C63" s="4" t="str">
        <f t="shared" si="0"/>
        <v>7021988393 | Ready &amp; Affordable 1 &amp; 2 B</v>
      </c>
      <c r="D63" s="4" t="str">
        <f t="shared" ca="1" si="1"/>
        <v>Last 90 Days</v>
      </c>
      <c r="E63" s="13">
        <v>46002</v>
      </c>
      <c r="F63" s="23">
        <f t="shared" si="2"/>
        <v>46022</v>
      </c>
      <c r="G63" s="5">
        <v>65</v>
      </c>
      <c r="H63" s="5">
        <v>33514</v>
      </c>
      <c r="I63" s="6">
        <v>226.5643</v>
      </c>
      <c r="J63" s="5">
        <v>4</v>
      </c>
      <c r="K63" s="7">
        <v>0.86499999999999999</v>
      </c>
      <c r="L63" s="5">
        <v>1986</v>
      </c>
      <c r="M63" s="6">
        <v>7.35</v>
      </c>
    </row>
    <row r="64" spans="1:13" x14ac:dyDescent="0.35">
      <c r="A64" s="4" t="s">
        <v>363</v>
      </c>
      <c r="B64" s="4" t="s">
        <v>989</v>
      </c>
      <c r="C64" s="4" t="str">
        <f t="shared" si="0"/>
        <v>Kalyan‚ Urgent 2BHK Flat Call 70219883</v>
      </c>
      <c r="D64" s="4" t="str">
        <f t="shared" ca="1" si="1"/>
        <v>Last 90 Days</v>
      </c>
      <c r="E64" s="13">
        <v>46002</v>
      </c>
      <c r="F64" s="23">
        <f t="shared" si="2"/>
        <v>46022</v>
      </c>
      <c r="G64" s="5">
        <v>23</v>
      </c>
      <c r="H64" s="5">
        <v>1188</v>
      </c>
      <c r="I64" s="6">
        <v>2.6086999999999998</v>
      </c>
      <c r="J64" s="5">
        <v>0</v>
      </c>
      <c r="K64" s="7">
        <v>0.64800000000000002</v>
      </c>
      <c r="L64" s="5">
        <v>1907</v>
      </c>
      <c r="M64" s="6">
        <v>6.66</v>
      </c>
    </row>
    <row r="65" spans="1:13" x14ac:dyDescent="0.35">
      <c r="A65" s="4" t="s">
        <v>472</v>
      </c>
      <c r="B65" s="4" t="s">
        <v>937</v>
      </c>
      <c r="C65" s="4" t="str">
        <f t="shared" si="0"/>
        <v>70219883931/2 BHK Next to UMC Garden |</v>
      </c>
      <c r="D65" s="4" t="str">
        <f t="shared" ca="1" si="1"/>
        <v>Last 90 Days</v>
      </c>
      <c r="E65" s="13">
        <v>46001</v>
      </c>
      <c r="F65" s="23">
        <f t="shared" si="2"/>
        <v>46022</v>
      </c>
      <c r="G65" s="5">
        <v>38</v>
      </c>
      <c r="H65" s="5">
        <v>998</v>
      </c>
      <c r="I65" s="6">
        <v>2.3410000000000002</v>
      </c>
      <c r="J65" s="5">
        <v>0</v>
      </c>
      <c r="K65" s="7">
        <v>0.41299999999999998</v>
      </c>
      <c r="L65" s="5">
        <v>795</v>
      </c>
      <c r="M65" s="6">
        <v>4.6500000000000004</v>
      </c>
    </row>
    <row r="66" spans="1:13" x14ac:dyDescent="0.35">
      <c r="A66" s="4" t="s">
        <v>757</v>
      </c>
      <c r="B66" s="4" t="s">
        <v>758</v>
      </c>
      <c r="C66" s="4" t="str">
        <f t="shared" si="0"/>
        <v>Luxury 2 BHK Flat For Sale in Kalyan Wes</v>
      </c>
      <c r="D66" s="4" t="str">
        <f t="shared" ca="1" si="1"/>
        <v>Last 90 Days</v>
      </c>
      <c r="E66" s="13">
        <v>46001</v>
      </c>
      <c r="F66" s="23">
        <f t="shared" si="2"/>
        <v>46022</v>
      </c>
      <c r="G66" s="5">
        <v>79</v>
      </c>
      <c r="H66" s="5">
        <v>712</v>
      </c>
      <c r="I66" s="6">
        <v>3.5333999999999999</v>
      </c>
      <c r="J66" s="5">
        <v>0</v>
      </c>
      <c r="K66" s="7">
        <v>0.312</v>
      </c>
      <c r="L66" s="5">
        <v>1773</v>
      </c>
      <c r="M66" s="6">
        <v>6.54</v>
      </c>
    </row>
    <row r="67" spans="1:13" x14ac:dyDescent="0.35">
      <c r="A67" s="4" t="s">
        <v>490</v>
      </c>
      <c r="B67" s="4" t="s">
        <v>491</v>
      </c>
      <c r="C67" s="4" t="str">
        <f t="shared" ref="C67:C130" si="3">LEFT(B67,40)</f>
        <v>Call 7021988393 | Piramal Vaikunth Thane</v>
      </c>
      <c r="D67" s="4" t="str">
        <f t="shared" ref="D67:D130" ca="1" si="4">IF(E67&gt;=TODAY()-28,"Last 28 Days",IF(E67&gt;=TODAY()-90,"Last 90 Days",IF(E67&gt;=TODAY()-365,"Last 365 Days","Older")))</f>
        <v>Last 90 Days</v>
      </c>
      <c r="E67" s="13">
        <v>46000</v>
      </c>
      <c r="F67" s="23">
        <f t="shared" ref="F67:F130" si="5">EOMONTH(E67,0)</f>
        <v>46022</v>
      </c>
      <c r="G67" s="5">
        <v>93</v>
      </c>
      <c r="H67" s="5">
        <v>975</v>
      </c>
      <c r="I67" s="6">
        <v>3.0175000000000001</v>
      </c>
      <c r="J67" s="5">
        <v>0</v>
      </c>
      <c r="K67" s="7">
        <v>0.42699999999999999</v>
      </c>
      <c r="L67" s="5">
        <v>1610</v>
      </c>
      <c r="M67" s="6">
        <v>7.89</v>
      </c>
    </row>
    <row r="68" spans="1:13" x14ac:dyDescent="0.35">
      <c r="A68" s="4" t="s">
        <v>117</v>
      </c>
      <c r="B68" s="4" t="s">
        <v>964</v>
      </c>
      <c r="C68" s="4" t="str">
        <f t="shared" si="3"/>
        <v>Shahad 1 &amp; 2 BHK 37.26 Lakhs 7021988393</v>
      </c>
      <c r="D68" s="4" t="str">
        <f t="shared" ca="1" si="4"/>
        <v>Last 90 Days</v>
      </c>
      <c r="E68" s="13">
        <v>45998</v>
      </c>
      <c r="F68" s="23">
        <f t="shared" si="5"/>
        <v>46022</v>
      </c>
      <c r="G68" s="5">
        <v>89</v>
      </c>
      <c r="H68" s="5">
        <v>2160</v>
      </c>
      <c r="I68" s="6">
        <v>15.816000000000001</v>
      </c>
      <c r="J68" s="5">
        <v>1</v>
      </c>
      <c r="K68" s="7">
        <v>2.0409999999999999</v>
      </c>
      <c r="L68" s="5">
        <v>1507</v>
      </c>
      <c r="M68" s="6">
        <v>5.18</v>
      </c>
    </row>
    <row r="69" spans="1:13" x14ac:dyDescent="0.35">
      <c r="A69" s="4" t="s">
        <v>522</v>
      </c>
      <c r="B69" s="4" t="s">
        <v>523</v>
      </c>
      <c r="C69" s="4" t="str">
        <f t="shared" si="3"/>
        <v>Call 7021988393 | Raunak Maximum City Th</v>
      </c>
      <c r="D69" s="4" t="str">
        <f t="shared" ca="1" si="4"/>
        <v>Last 90 Days</v>
      </c>
      <c r="E69" s="13">
        <v>45998</v>
      </c>
      <c r="F69" s="23">
        <f t="shared" si="5"/>
        <v>46022</v>
      </c>
      <c r="G69" s="5">
        <v>111</v>
      </c>
      <c r="H69" s="5">
        <v>941</v>
      </c>
      <c r="I69" s="6">
        <v>2.8603000000000001</v>
      </c>
      <c r="J69" s="5">
        <v>1</v>
      </c>
      <c r="K69" s="7">
        <v>0.42099999999999999</v>
      </c>
      <c r="L69" s="5">
        <v>2570</v>
      </c>
      <c r="M69" s="6">
        <v>6.19</v>
      </c>
    </row>
    <row r="70" spans="1:13" x14ac:dyDescent="0.35">
      <c r="A70" s="4" t="s">
        <v>200</v>
      </c>
      <c r="B70" s="4" t="s">
        <v>934</v>
      </c>
      <c r="C70" s="4" t="str">
        <f t="shared" si="3"/>
        <v>7021988393Ready to Move 2 BHK 45.99 La</v>
      </c>
      <c r="D70" s="4" t="str">
        <f t="shared" ca="1" si="4"/>
        <v>Last 90 Days</v>
      </c>
      <c r="E70" s="13">
        <v>45997</v>
      </c>
      <c r="F70" s="23">
        <f t="shared" si="5"/>
        <v>46022</v>
      </c>
      <c r="G70" s="5">
        <v>68</v>
      </c>
      <c r="H70" s="5">
        <v>1631</v>
      </c>
      <c r="I70" s="6">
        <v>6.3701999999999996</v>
      </c>
      <c r="J70" s="5">
        <v>2</v>
      </c>
      <c r="K70" s="7">
        <v>0.89700000000000002</v>
      </c>
      <c r="L70" s="5">
        <v>2105</v>
      </c>
      <c r="M70" s="6">
        <v>7.03</v>
      </c>
    </row>
    <row r="71" spans="1:13" x14ac:dyDescent="0.35">
      <c r="A71" s="4" t="s">
        <v>427</v>
      </c>
      <c r="B71" s="4" t="s">
        <v>974</v>
      </c>
      <c r="C71" s="4" t="str">
        <f t="shared" si="3"/>
        <v>70219883931 &amp; 2 BHK BHK starts @37.26</v>
      </c>
      <c r="D71" s="4" t="str">
        <f t="shared" ca="1" si="4"/>
        <v>Last 90 Days</v>
      </c>
      <c r="E71" s="13">
        <v>45996</v>
      </c>
      <c r="F71" s="23">
        <f t="shared" si="5"/>
        <v>46022</v>
      </c>
      <c r="G71" s="5">
        <v>43</v>
      </c>
      <c r="H71" s="5">
        <v>1065</v>
      </c>
      <c r="I71" s="6">
        <v>3.3077999999999999</v>
      </c>
      <c r="J71" s="5">
        <v>0</v>
      </c>
      <c r="K71" s="7">
        <v>0.31900000000000001</v>
      </c>
      <c r="L71" s="5">
        <v>1088</v>
      </c>
      <c r="M71" s="6">
        <v>4.87</v>
      </c>
    </row>
    <row r="72" spans="1:13" x14ac:dyDescent="0.35">
      <c r="A72" s="4" t="s">
        <v>25</v>
      </c>
      <c r="B72" s="4" t="s">
        <v>931</v>
      </c>
      <c r="C72" s="4" t="str">
        <f t="shared" si="3"/>
        <v>70219883932 MIN from Station - 1/2 BHK</v>
      </c>
      <c r="D72" s="4" t="str">
        <f t="shared" ca="1" si="4"/>
        <v>Last 90 Days</v>
      </c>
      <c r="E72" s="13">
        <v>45995</v>
      </c>
      <c r="F72" s="23">
        <f t="shared" si="5"/>
        <v>46022</v>
      </c>
      <c r="G72" s="5">
        <v>91</v>
      </c>
      <c r="H72" s="5">
        <v>9303</v>
      </c>
      <c r="I72" s="6">
        <v>59.853700000000003</v>
      </c>
      <c r="J72" s="5">
        <v>0</v>
      </c>
      <c r="K72" s="7">
        <v>0.57499999999999996</v>
      </c>
      <c r="L72" s="5">
        <v>1478</v>
      </c>
      <c r="M72" s="6">
        <v>5.48</v>
      </c>
    </row>
    <row r="73" spans="1:13" x14ac:dyDescent="0.35">
      <c r="A73" s="4" t="s">
        <v>457</v>
      </c>
      <c r="B73" s="4" t="s">
        <v>458</v>
      </c>
      <c r="C73" s="4" t="str">
        <f t="shared" si="3"/>
        <v xml:space="preserve">Call 7021988393 | Spacious 1BHK Flat in </v>
      </c>
      <c r="D73" s="4" t="str">
        <f t="shared" ca="1" si="4"/>
        <v>Last 90 Days</v>
      </c>
      <c r="E73" s="13">
        <v>45995</v>
      </c>
      <c r="F73" s="23">
        <f t="shared" si="5"/>
        <v>46022</v>
      </c>
      <c r="G73" s="5">
        <v>31</v>
      </c>
      <c r="H73" s="5">
        <v>1026</v>
      </c>
      <c r="I73" s="6">
        <v>2.1894999999999998</v>
      </c>
      <c r="J73" s="5">
        <v>1</v>
      </c>
      <c r="K73" s="7">
        <v>0.46100000000000002</v>
      </c>
      <c r="L73" s="5">
        <v>3016</v>
      </c>
      <c r="M73" s="6">
        <v>5.34</v>
      </c>
    </row>
    <row r="74" spans="1:13" x14ac:dyDescent="0.35">
      <c r="A74" s="4" t="s">
        <v>54</v>
      </c>
      <c r="B74" s="4" t="s">
        <v>912</v>
      </c>
      <c r="C74" s="4" t="str">
        <f t="shared" si="3"/>
        <v>Call 7021988393 | Seasons Green Kalyan W</v>
      </c>
      <c r="D74" s="4" t="str">
        <f t="shared" ca="1" si="4"/>
        <v>Last 90 Days</v>
      </c>
      <c r="E74" s="13">
        <v>45993</v>
      </c>
      <c r="F74" s="23">
        <f t="shared" si="5"/>
        <v>46022</v>
      </c>
      <c r="G74" s="5">
        <v>93</v>
      </c>
      <c r="H74" s="5">
        <v>4113</v>
      </c>
      <c r="I74" s="6">
        <v>22.4864</v>
      </c>
      <c r="J74" s="5">
        <v>1</v>
      </c>
      <c r="K74" s="7">
        <v>0.23799999999999999</v>
      </c>
      <c r="L74" s="5">
        <v>1520</v>
      </c>
      <c r="M74" s="6">
        <v>5.46</v>
      </c>
    </row>
    <row r="75" spans="1:13" x14ac:dyDescent="0.35">
      <c r="A75" s="4" t="s">
        <v>252</v>
      </c>
      <c r="B75" s="4" t="s">
        <v>916</v>
      </c>
      <c r="C75" s="4" t="str">
        <f t="shared" si="3"/>
        <v xml:space="preserve">Seasons Green 1 &amp; 2 BHK Starting 39.99L </v>
      </c>
      <c r="D75" s="4" t="str">
        <f t="shared" ca="1" si="4"/>
        <v>Last 90 Days</v>
      </c>
      <c r="E75" s="13">
        <v>45991</v>
      </c>
      <c r="F75" s="23">
        <f t="shared" si="5"/>
        <v>45991</v>
      </c>
      <c r="G75" s="5">
        <v>91</v>
      </c>
      <c r="H75" s="5">
        <v>1454</v>
      </c>
      <c r="I75" s="6">
        <v>4.5056000000000003</v>
      </c>
      <c r="J75" s="5">
        <v>0</v>
      </c>
      <c r="K75" s="7">
        <v>0.30299999999999999</v>
      </c>
      <c r="L75" s="5">
        <v>1235</v>
      </c>
      <c r="M75" s="6">
        <v>4.37</v>
      </c>
    </row>
    <row r="76" spans="1:13" x14ac:dyDescent="0.35">
      <c r="A76" s="4" t="s">
        <v>749</v>
      </c>
      <c r="B76" s="4" t="s">
        <v>963</v>
      </c>
      <c r="C76" s="4" t="str">
        <f t="shared" si="3"/>
        <v xml:space="preserve">Metro Pride, Thakurli Premium 1 &amp; 2 BHK </v>
      </c>
      <c r="D76" s="4" t="str">
        <f t="shared" ca="1" si="4"/>
        <v>Last 90 Days</v>
      </c>
      <c r="E76" s="13">
        <v>45991</v>
      </c>
      <c r="F76" s="23">
        <f t="shared" si="5"/>
        <v>45991</v>
      </c>
      <c r="G76" s="5">
        <v>78</v>
      </c>
      <c r="H76" s="5">
        <v>720</v>
      </c>
      <c r="I76" s="6">
        <v>5.4810999999999996</v>
      </c>
      <c r="J76" s="5">
        <v>0</v>
      </c>
      <c r="K76" s="7">
        <v>0.29199999999999998</v>
      </c>
      <c r="L76" s="5">
        <v>1203</v>
      </c>
      <c r="M76" s="6">
        <v>7.07</v>
      </c>
    </row>
    <row r="77" spans="1:13" x14ac:dyDescent="0.35">
      <c r="A77" s="4" t="s">
        <v>182</v>
      </c>
      <c r="B77" s="4" t="s">
        <v>943</v>
      </c>
      <c r="C77" s="4" t="str">
        <f t="shared" si="3"/>
        <v>1 &amp; 2 BHK Flats in Dombivli | Anandi Imp</v>
      </c>
      <c r="D77" s="4" t="str">
        <f t="shared" ca="1" si="4"/>
        <v>Last 90 Days</v>
      </c>
      <c r="E77" s="13">
        <v>45990</v>
      </c>
      <c r="F77" s="23">
        <f t="shared" si="5"/>
        <v>45991</v>
      </c>
      <c r="G77" s="5">
        <v>44</v>
      </c>
      <c r="H77" s="5">
        <v>1727</v>
      </c>
      <c r="I77" s="6">
        <v>6.3006000000000002</v>
      </c>
      <c r="J77" s="5">
        <v>3</v>
      </c>
      <c r="K77" s="7">
        <v>0.60499999999999998</v>
      </c>
      <c r="L77" s="5">
        <v>1755</v>
      </c>
      <c r="M77" s="6">
        <v>6.15</v>
      </c>
    </row>
    <row r="78" spans="1:13" x14ac:dyDescent="0.35">
      <c r="A78" s="4" t="s">
        <v>836</v>
      </c>
      <c r="B78" s="4" t="s">
        <v>837</v>
      </c>
      <c r="C78" s="4" t="str">
        <f t="shared" si="3"/>
        <v>Piramal Vaikunth Thane 1.5 BHK Home Tour</v>
      </c>
      <c r="D78" s="4" t="str">
        <f t="shared" ca="1" si="4"/>
        <v>Last 90 Days</v>
      </c>
      <c r="E78" s="13">
        <v>45990</v>
      </c>
      <c r="F78" s="23">
        <f t="shared" si="5"/>
        <v>45991</v>
      </c>
      <c r="G78" s="5">
        <v>143</v>
      </c>
      <c r="H78" s="5">
        <v>631</v>
      </c>
      <c r="I78" s="6">
        <v>14.3324</v>
      </c>
      <c r="J78" s="5">
        <v>2</v>
      </c>
      <c r="K78" s="7">
        <v>60.731999999999999</v>
      </c>
      <c r="L78" s="5">
        <v>4545</v>
      </c>
      <c r="M78" s="6">
        <v>8.49</v>
      </c>
    </row>
    <row r="79" spans="1:13" x14ac:dyDescent="0.35">
      <c r="A79" s="4" t="s">
        <v>423</v>
      </c>
      <c r="B79" s="4" t="s">
        <v>424</v>
      </c>
      <c r="C79" s="4" t="str">
        <f t="shared" si="3"/>
        <v>Call 7021988393 | Ghar Mela 2.0 | New Ho</v>
      </c>
      <c r="D79" s="4" t="str">
        <f t="shared" ca="1" si="4"/>
        <v>Last 90 Days</v>
      </c>
      <c r="E79" s="13">
        <v>45988</v>
      </c>
      <c r="F79" s="23">
        <f t="shared" si="5"/>
        <v>45991</v>
      </c>
      <c r="G79" s="5">
        <v>48</v>
      </c>
      <c r="H79" s="5">
        <v>1074</v>
      </c>
      <c r="I79" s="6">
        <v>4.7744999999999997</v>
      </c>
      <c r="J79" s="5">
        <v>0</v>
      </c>
      <c r="K79" s="7">
        <v>0.76700000000000002</v>
      </c>
      <c r="L79" s="5">
        <v>2031</v>
      </c>
      <c r="M79" s="6">
        <v>7.48</v>
      </c>
    </row>
    <row r="80" spans="1:13" x14ac:dyDescent="0.35">
      <c r="A80" s="4" t="s">
        <v>28</v>
      </c>
      <c r="B80" s="4" t="s">
        <v>29</v>
      </c>
      <c r="C80" s="4" t="str">
        <f t="shared" si="3"/>
        <v>Call 7021988393 | Kalyan Elite Kalyan We</v>
      </c>
      <c r="D80" s="4" t="str">
        <f t="shared" ca="1" si="4"/>
        <v>Last 90 Days</v>
      </c>
      <c r="E80" s="13">
        <v>45987</v>
      </c>
      <c r="F80" s="23">
        <f t="shared" si="5"/>
        <v>45991</v>
      </c>
      <c r="G80" s="5">
        <v>66</v>
      </c>
      <c r="H80" s="5">
        <v>8851</v>
      </c>
      <c r="I80" s="6">
        <v>40.32</v>
      </c>
      <c r="J80" s="5">
        <v>0</v>
      </c>
      <c r="K80" s="7">
        <v>0.21199999999999999</v>
      </c>
      <c r="L80" s="5">
        <v>1665</v>
      </c>
      <c r="M80" s="6">
        <v>5.29</v>
      </c>
    </row>
    <row r="81" spans="1:13" x14ac:dyDescent="0.35">
      <c r="A81" s="4" t="s">
        <v>334</v>
      </c>
      <c r="B81" s="4" t="s">
        <v>335</v>
      </c>
      <c r="C81" s="4" t="str">
        <f t="shared" si="3"/>
        <v>Kohinoor Eden Kalyan East | 1 &amp; 2BHK Sam</v>
      </c>
      <c r="D81" s="4" t="str">
        <f t="shared" ca="1" si="4"/>
        <v>Last 365 Days</v>
      </c>
      <c r="E81" s="13">
        <v>45984</v>
      </c>
      <c r="F81" s="23">
        <f t="shared" si="5"/>
        <v>45991</v>
      </c>
      <c r="G81" s="5">
        <v>431</v>
      </c>
      <c r="H81" s="5">
        <v>1240</v>
      </c>
      <c r="I81" s="6">
        <v>55.024999999999999</v>
      </c>
      <c r="J81" s="5">
        <v>5</v>
      </c>
      <c r="K81" s="7">
        <v>110.011</v>
      </c>
      <c r="L81" s="5">
        <v>8560</v>
      </c>
      <c r="M81" s="6">
        <v>10.88</v>
      </c>
    </row>
    <row r="82" spans="1:13" x14ac:dyDescent="0.35">
      <c r="A82" s="4" t="s">
        <v>589</v>
      </c>
      <c r="B82" s="4" t="s">
        <v>590</v>
      </c>
      <c r="C82" s="4" t="str">
        <f t="shared" si="3"/>
        <v>Call 7021988393 | Kohinoor Gardens Shaha</v>
      </c>
      <c r="D82" s="4" t="str">
        <f t="shared" ca="1" si="4"/>
        <v>Last 365 Days</v>
      </c>
      <c r="E82" s="13">
        <v>45983</v>
      </c>
      <c r="F82" s="23">
        <f t="shared" si="5"/>
        <v>45991</v>
      </c>
      <c r="G82" s="5">
        <v>85</v>
      </c>
      <c r="H82" s="5">
        <v>853</v>
      </c>
      <c r="I82" s="6">
        <v>5.0373000000000001</v>
      </c>
      <c r="J82" s="5">
        <v>1</v>
      </c>
      <c r="K82" s="7">
        <v>0.41699999999999998</v>
      </c>
      <c r="L82" s="5">
        <v>2531</v>
      </c>
      <c r="M82" s="6">
        <v>8.9700000000000006</v>
      </c>
    </row>
    <row r="83" spans="1:13" x14ac:dyDescent="0.35">
      <c r="A83" s="4" t="s">
        <v>276</v>
      </c>
      <c r="B83" s="4" t="s">
        <v>277</v>
      </c>
      <c r="C83" s="4" t="str">
        <f t="shared" si="3"/>
        <v>Call 7021988393 | Yashraj Paradise Kalya</v>
      </c>
      <c r="D83" s="4" t="str">
        <f t="shared" ca="1" si="4"/>
        <v>Last 365 Days</v>
      </c>
      <c r="E83" s="13">
        <v>45980</v>
      </c>
      <c r="F83" s="23">
        <f t="shared" si="5"/>
        <v>45991</v>
      </c>
      <c r="G83" s="5">
        <v>53</v>
      </c>
      <c r="H83" s="5">
        <v>1369</v>
      </c>
      <c r="I83" s="6">
        <v>5.8106999999999998</v>
      </c>
      <c r="J83" s="5">
        <v>1</v>
      </c>
      <c r="K83" s="7">
        <v>0.85499999999999998</v>
      </c>
      <c r="L83" s="5">
        <v>3192</v>
      </c>
      <c r="M83" s="6">
        <v>3.88</v>
      </c>
    </row>
    <row r="84" spans="1:13" x14ac:dyDescent="0.35">
      <c r="A84" s="4" t="s">
        <v>207</v>
      </c>
      <c r="B84" s="4" t="s">
        <v>208</v>
      </c>
      <c r="C84" s="4" t="str">
        <f t="shared" si="3"/>
        <v>Saket Ayodhya City Kalyan | 1 &amp; 2 BHK Lu</v>
      </c>
      <c r="D84" s="4" t="str">
        <f t="shared" ca="1" si="4"/>
        <v>Last 365 Days</v>
      </c>
      <c r="E84" s="13">
        <v>45979</v>
      </c>
      <c r="F84" s="23">
        <f t="shared" si="5"/>
        <v>45991</v>
      </c>
      <c r="G84" s="5">
        <v>299</v>
      </c>
      <c r="H84" s="5">
        <v>1589</v>
      </c>
      <c r="I84" s="6">
        <v>50.2806</v>
      </c>
      <c r="J84" s="5">
        <v>4</v>
      </c>
      <c r="K84" s="7">
        <v>115.098</v>
      </c>
      <c r="L84" s="5">
        <v>9715</v>
      </c>
      <c r="M84" s="6">
        <v>12.44</v>
      </c>
    </row>
    <row r="85" spans="1:13" x14ac:dyDescent="0.35">
      <c r="A85" s="4" t="s">
        <v>296</v>
      </c>
      <c r="B85" s="4" t="s">
        <v>297</v>
      </c>
      <c r="C85" s="4" t="str">
        <f t="shared" si="3"/>
        <v>Kalyan East 1 BHK Flats for Sale | Sai A</v>
      </c>
      <c r="D85" s="4" t="str">
        <f t="shared" ca="1" si="4"/>
        <v>Last 365 Days</v>
      </c>
      <c r="E85" s="13">
        <v>45979</v>
      </c>
      <c r="F85" s="23">
        <f t="shared" si="5"/>
        <v>45991</v>
      </c>
      <c r="G85" s="5">
        <v>43</v>
      </c>
      <c r="H85" s="5">
        <v>1305</v>
      </c>
      <c r="I85" s="6">
        <v>6.1063000000000001</v>
      </c>
      <c r="J85" s="5">
        <v>0</v>
      </c>
      <c r="K85" s="7">
        <v>0.54300000000000004</v>
      </c>
      <c r="L85" s="5">
        <v>2288</v>
      </c>
      <c r="M85" s="6">
        <v>6.12</v>
      </c>
    </row>
    <row r="86" spans="1:13" x14ac:dyDescent="0.35">
      <c r="A86" s="4" t="s">
        <v>651</v>
      </c>
      <c r="B86" s="4" t="s">
        <v>652</v>
      </c>
      <c r="C86" s="4" t="str">
        <f t="shared" si="3"/>
        <v>Call 7021988393 | Peaceful Society in Ka</v>
      </c>
      <c r="D86" s="4" t="str">
        <f t="shared" ca="1" si="4"/>
        <v>Last 365 Days</v>
      </c>
      <c r="E86" s="13">
        <v>45979</v>
      </c>
      <c r="F86" s="23">
        <f t="shared" si="5"/>
        <v>45991</v>
      </c>
      <c r="G86" s="5">
        <v>42</v>
      </c>
      <c r="H86" s="5">
        <v>809</v>
      </c>
      <c r="I86" s="6">
        <v>2.5467</v>
      </c>
      <c r="J86" s="5">
        <v>0</v>
      </c>
      <c r="K86" s="7">
        <v>0.248</v>
      </c>
      <c r="L86" s="5">
        <v>1845</v>
      </c>
      <c r="M86" s="6">
        <v>6.94</v>
      </c>
    </row>
    <row r="87" spans="1:13" x14ac:dyDescent="0.35">
      <c r="A87" s="4" t="s">
        <v>553</v>
      </c>
      <c r="B87" s="4" t="s">
        <v>554</v>
      </c>
      <c r="C87" s="4" t="str">
        <f t="shared" si="3"/>
        <v>2 BHK Flat for Sale in Kalyan East | Pre</v>
      </c>
      <c r="D87" s="4" t="str">
        <f t="shared" ca="1" si="4"/>
        <v>Last 365 Days</v>
      </c>
      <c r="E87" s="13">
        <v>45977</v>
      </c>
      <c r="F87" s="23">
        <f t="shared" si="5"/>
        <v>45991</v>
      </c>
      <c r="G87" s="5">
        <v>60</v>
      </c>
      <c r="H87" s="5">
        <v>907</v>
      </c>
      <c r="I87" s="6">
        <v>3.8780000000000001</v>
      </c>
      <c r="J87" s="5">
        <v>0</v>
      </c>
      <c r="K87" s="7">
        <v>0.44600000000000001</v>
      </c>
      <c r="L87" s="5">
        <v>2521</v>
      </c>
      <c r="M87" s="6">
        <v>5.99</v>
      </c>
    </row>
    <row r="88" spans="1:13" x14ac:dyDescent="0.35">
      <c r="A88" s="4" t="s">
        <v>848</v>
      </c>
      <c r="B88" s="4" t="s">
        <v>969</v>
      </c>
      <c r="C88" s="4" t="str">
        <f t="shared" si="3"/>
        <v>Waah Taj Kalyan West | Kongaons New Prem</v>
      </c>
      <c r="D88" s="4" t="str">
        <f t="shared" ca="1" si="4"/>
        <v>Last 365 Days</v>
      </c>
      <c r="E88" s="13">
        <v>45977</v>
      </c>
      <c r="F88" s="23">
        <f t="shared" si="5"/>
        <v>45991</v>
      </c>
      <c r="G88" s="5">
        <v>46</v>
      </c>
      <c r="H88" s="5">
        <v>618</v>
      </c>
      <c r="I88" s="6">
        <v>1.5771999999999999</v>
      </c>
      <c r="J88" s="5">
        <v>1</v>
      </c>
      <c r="K88" s="7">
        <v>0.248</v>
      </c>
      <c r="L88" s="5">
        <v>2215</v>
      </c>
      <c r="M88" s="6">
        <v>3.79</v>
      </c>
    </row>
    <row r="89" spans="1:13" x14ac:dyDescent="0.35">
      <c r="A89" s="4" t="s">
        <v>385</v>
      </c>
      <c r="B89" s="4" t="s">
        <v>386</v>
      </c>
      <c r="C89" s="4" t="str">
        <f t="shared" si="3"/>
        <v>Call 7021988393 | Birla Vanya 4BHK Luxur</v>
      </c>
      <c r="D89" s="4" t="str">
        <f t="shared" ca="1" si="4"/>
        <v>Last 365 Days</v>
      </c>
      <c r="E89" s="13">
        <v>45976</v>
      </c>
      <c r="F89" s="23">
        <f t="shared" si="5"/>
        <v>45991</v>
      </c>
      <c r="G89" s="5">
        <v>86</v>
      </c>
      <c r="H89" s="5">
        <v>1149</v>
      </c>
      <c r="I89" s="6">
        <v>4.7666000000000004</v>
      </c>
      <c r="J89" s="5">
        <v>1</v>
      </c>
      <c r="K89" s="7">
        <v>0.56200000000000006</v>
      </c>
      <c r="L89" s="5">
        <v>1684</v>
      </c>
      <c r="M89" s="6">
        <v>5.23</v>
      </c>
    </row>
    <row r="90" spans="1:13" x14ac:dyDescent="0.35">
      <c r="A90" s="4" t="s">
        <v>515</v>
      </c>
      <c r="B90" s="4" t="s">
        <v>897</v>
      </c>
      <c r="C90" s="4" t="str">
        <f t="shared" si="3"/>
        <v>Spacious 2 BHK Flat For Sale Kalyan | Ch</v>
      </c>
      <c r="D90" s="4" t="str">
        <f t="shared" ca="1" si="4"/>
        <v>Last 365 Days</v>
      </c>
      <c r="E90" s="13">
        <v>45975</v>
      </c>
      <c r="F90" s="23">
        <f t="shared" si="5"/>
        <v>45991</v>
      </c>
      <c r="G90" s="5">
        <v>74</v>
      </c>
      <c r="H90" s="5">
        <v>945</v>
      </c>
      <c r="I90" s="6">
        <v>4.3446999999999996</v>
      </c>
      <c r="J90" s="5">
        <v>1</v>
      </c>
      <c r="K90" s="7">
        <v>0.38</v>
      </c>
      <c r="L90" s="5">
        <v>1553</v>
      </c>
      <c r="M90" s="6">
        <v>6.7</v>
      </c>
    </row>
    <row r="91" spans="1:13" x14ac:dyDescent="0.35">
      <c r="A91" s="4" t="s">
        <v>354</v>
      </c>
      <c r="B91" s="4" t="s">
        <v>355</v>
      </c>
      <c r="C91" s="4" t="str">
        <f t="shared" si="3"/>
        <v>Call 7021988393 | Kohinoor Gardens Shaha</v>
      </c>
      <c r="D91" s="4" t="str">
        <f t="shared" ca="1" si="4"/>
        <v>Last 365 Days</v>
      </c>
      <c r="E91" s="13">
        <v>45972</v>
      </c>
      <c r="F91" s="23">
        <f t="shared" si="5"/>
        <v>45991</v>
      </c>
      <c r="G91" s="5">
        <v>47</v>
      </c>
      <c r="H91" s="5">
        <v>1208</v>
      </c>
      <c r="I91" s="6">
        <v>2.8744000000000001</v>
      </c>
      <c r="J91" s="5">
        <v>0</v>
      </c>
      <c r="K91" s="7">
        <v>0.45700000000000002</v>
      </c>
      <c r="L91" s="5">
        <v>3008</v>
      </c>
      <c r="M91" s="6">
        <v>4.3899999999999997</v>
      </c>
    </row>
    <row r="92" spans="1:13" x14ac:dyDescent="0.35">
      <c r="A92" s="4" t="s">
        <v>19</v>
      </c>
      <c r="B92" s="4" t="s">
        <v>20</v>
      </c>
      <c r="C92" s="4" t="str">
        <f t="shared" si="3"/>
        <v>Call 7021988393 | Kohinoor Gardens Shaha</v>
      </c>
      <c r="D92" s="4" t="str">
        <f t="shared" ca="1" si="4"/>
        <v>Last 365 Days</v>
      </c>
      <c r="E92" s="13">
        <v>45970</v>
      </c>
      <c r="F92" s="23">
        <f t="shared" si="5"/>
        <v>45991</v>
      </c>
      <c r="G92" s="5">
        <v>110</v>
      </c>
      <c r="H92" s="5">
        <v>30819</v>
      </c>
      <c r="I92" s="6">
        <v>27.402000000000001</v>
      </c>
      <c r="J92" s="5">
        <v>0</v>
      </c>
      <c r="K92" s="7">
        <v>0.32100000000000001</v>
      </c>
      <c r="L92" s="5">
        <v>2779</v>
      </c>
      <c r="M92" s="6">
        <v>4.97</v>
      </c>
    </row>
    <row r="93" spans="1:13" x14ac:dyDescent="0.35">
      <c r="A93" s="4" t="s">
        <v>714</v>
      </c>
      <c r="B93" s="4" t="s">
        <v>715</v>
      </c>
      <c r="C93" s="4" t="str">
        <f t="shared" si="3"/>
        <v>Sunraj Solitaire Dombivli | Spacious 2 B</v>
      </c>
      <c r="D93" s="4" t="str">
        <f t="shared" ca="1" si="4"/>
        <v>Last 365 Days</v>
      </c>
      <c r="E93" s="13">
        <v>45970</v>
      </c>
      <c r="F93" s="23">
        <f t="shared" si="5"/>
        <v>45991</v>
      </c>
      <c r="G93" s="5">
        <v>101</v>
      </c>
      <c r="H93" s="5">
        <v>752</v>
      </c>
      <c r="I93" s="6">
        <v>4.2683</v>
      </c>
      <c r="J93" s="5">
        <v>0</v>
      </c>
      <c r="K93" s="7">
        <v>0.44500000000000001</v>
      </c>
      <c r="L93" s="5">
        <v>2191</v>
      </c>
      <c r="M93" s="6">
        <v>4.97</v>
      </c>
    </row>
    <row r="94" spans="1:13" x14ac:dyDescent="0.35">
      <c r="A94" s="4" t="s">
        <v>574</v>
      </c>
      <c r="B94" s="4" t="s">
        <v>575</v>
      </c>
      <c r="C94" s="4" t="str">
        <f t="shared" si="3"/>
        <v>2 BHK Flat for Sale in Kalyan West | Cha</v>
      </c>
      <c r="D94" s="4" t="str">
        <f t="shared" ca="1" si="4"/>
        <v>Last 365 Days</v>
      </c>
      <c r="E94" s="13">
        <v>45969</v>
      </c>
      <c r="F94" s="23">
        <f t="shared" si="5"/>
        <v>45991</v>
      </c>
      <c r="G94" s="5">
        <v>109</v>
      </c>
      <c r="H94" s="5">
        <v>884</v>
      </c>
      <c r="I94" s="6">
        <v>12.042299999999999</v>
      </c>
      <c r="J94" s="5">
        <v>1</v>
      </c>
      <c r="K94" s="7">
        <v>61.715000000000003</v>
      </c>
      <c r="L94" s="5">
        <v>10391</v>
      </c>
      <c r="M94" s="6">
        <v>7.67</v>
      </c>
    </row>
    <row r="95" spans="1:13" x14ac:dyDescent="0.35">
      <c r="A95" s="4" t="s">
        <v>669</v>
      </c>
      <c r="B95" s="4" t="s">
        <v>670</v>
      </c>
      <c r="C95" s="4" t="str">
        <f t="shared" si="3"/>
        <v>Call 7021988393 | Metro Pride Thakurli w</v>
      </c>
      <c r="D95" s="4" t="str">
        <f t="shared" ca="1" si="4"/>
        <v>Last 365 Days</v>
      </c>
      <c r="E95" s="13">
        <v>45969</v>
      </c>
      <c r="F95" s="23">
        <f t="shared" si="5"/>
        <v>45991</v>
      </c>
      <c r="G95" s="5">
        <v>91</v>
      </c>
      <c r="H95" s="5">
        <v>795</v>
      </c>
      <c r="I95" s="6">
        <v>4.8067000000000002</v>
      </c>
      <c r="J95" s="5">
        <v>0</v>
      </c>
      <c r="K95" s="7">
        <v>0.59299999999999997</v>
      </c>
      <c r="L95" s="5">
        <v>1928</v>
      </c>
      <c r="M95" s="6">
        <v>4.51</v>
      </c>
    </row>
    <row r="96" spans="1:13" x14ac:dyDescent="0.35">
      <c r="A96" s="4" t="s">
        <v>34</v>
      </c>
      <c r="B96" s="4" t="s">
        <v>35</v>
      </c>
      <c r="C96" s="4" t="str">
        <f t="shared" si="3"/>
        <v>Kohinoor Gardens Shahad | 1 &amp; 2 BHK Flat</v>
      </c>
      <c r="D96" s="4" t="str">
        <f t="shared" ca="1" si="4"/>
        <v>Last 365 Days</v>
      </c>
      <c r="E96" s="13">
        <v>45968</v>
      </c>
      <c r="F96" s="23">
        <f t="shared" si="5"/>
        <v>45991</v>
      </c>
      <c r="G96" s="5">
        <v>295</v>
      </c>
      <c r="H96" s="5">
        <v>6600</v>
      </c>
      <c r="I96" s="6">
        <v>29.5063</v>
      </c>
      <c r="J96" s="5">
        <v>5</v>
      </c>
      <c r="K96" s="7">
        <v>49.604999999999997</v>
      </c>
      <c r="L96" s="5">
        <v>5368</v>
      </c>
      <c r="M96" s="6">
        <v>8.4</v>
      </c>
    </row>
    <row r="97" spans="1:13" x14ac:dyDescent="0.35">
      <c r="A97" s="4" t="s">
        <v>622</v>
      </c>
      <c r="B97" s="4" t="s">
        <v>623</v>
      </c>
      <c r="C97" s="4" t="str">
        <f t="shared" si="3"/>
        <v>Marathe New Project Titwala | Spacious 1</v>
      </c>
      <c r="D97" s="4" t="str">
        <f t="shared" ca="1" si="4"/>
        <v>Last 365 Days</v>
      </c>
      <c r="E97" s="13">
        <v>45968</v>
      </c>
      <c r="F97" s="23">
        <f t="shared" si="5"/>
        <v>45991</v>
      </c>
      <c r="G97" s="5">
        <v>46</v>
      </c>
      <c r="H97" s="5">
        <v>832</v>
      </c>
      <c r="I97" s="6">
        <v>1.7259</v>
      </c>
      <c r="J97" s="5">
        <v>0</v>
      </c>
      <c r="K97" s="7">
        <v>0.29899999999999999</v>
      </c>
      <c r="L97" s="5">
        <v>1790</v>
      </c>
      <c r="M97" s="6">
        <v>2.91</v>
      </c>
    </row>
    <row r="98" spans="1:13" x14ac:dyDescent="0.35">
      <c r="A98" s="4" t="s">
        <v>688</v>
      </c>
      <c r="B98" s="4" t="s">
        <v>689</v>
      </c>
      <c r="C98" s="4" t="str">
        <f t="shared" si="3"/>
        <v xml:space="preserve">Call 7021988393 | Ira Insignia Dombivli </v>
      </c>
      <c r="D98" s="4" t="str">
        <f t="shared" ca="1" si="4"/>
        <v>Last 365 Days</v>
      </c>
      <c r="E98" s="13">
        <v>45968</v>
      </c>
      <c r="F98" s="23">
        <f t="shared" si="5"/>
        <v>45991</v>
      </c>
      <c r="G98" s="5">
        <v>49</v>
      </c>
      <c r="H98" s="5">
        <v>780</v>
      </c>
      <c r="I98" s="6">
        <v>2.9285000000000001</v>
      </c>
      <c r="J98" s="5">
        <v>2</v>
      </c>
      <c r="K98" s="7">
        <v>0.35099999999999998</v>
      </c>
      <c r="L98" s="5">
        <v>2200</v>
      </c>
      <c r="M98" s="6">
        <v>5.64</v>
      </c>
    </row>
    <row r="99" spans="1:13" x14ac:dyDescent="0.35">
      <c r="A99" s="4" t="s">
        <v>13</v>
      </c>
      <c r="B99" s="4" t="s">
        <v>14</v>
      </c>
      <c r="C99" s="4" t="str">
        <f t="shared" si="3"/>
        <v>Metro Pride Thakurli | 1 &amp; 2BHK Flats Re</v>
      </c>
      <c r="D99" s="4" t="str">
        <f t="shared" ca="1" si="4"/>
        <v>Last 365 Days</v>
      </c>
      <c r="E99" s="13">
        <v>45967</v>
      </c>
      <c r="F99" s="23">
        <f t="shared" si="5"/>
        <v>45991</v>
      </c>
      <c r="G99" s="5">
        <v>235</v>
      </c>
      <c r="H99" s="5">
        <v>77801</v>
      </c>
      <c r="I99" s="6">
        <v>2536.3398000000002</v>
      </c>
      <c r="J99" s="5">
        <v>3</v>
      </c>
      <c r="K99" s="7">
        <v>27.881</v>
      </c>
      <c r="L99" s="5">
        <v>5078</v>
      </c>
      <c r="M99" s="6">
        <v>7.48</v>
      </c>
    </row>
    <row r="100" spans="1:13" x14ac:dyDescent="0.35">
      <c r="A100" s="4" t="s">
        <v>696</v>
      </c>
      <c r="B100" s="4" t="s">
        <v>697</v>
      </c>
      <c r="C100" s="4" t="str">
        <f t="shared" si="3"/>
        <v>Call 7021988393 | Mangeshi World 2BHK Fl</v>
      </c>
      <c r="D100" s="4" t="str">
        <f t="shared" ca="1" si="4"/>
        <v>Last 365 Days</v>
      </c>
      <c r="E100" s="13">
        <v>45967</v>
      </c>
      <c r="F100" s="23">
        <f t="shared" si="5"/>
        <v>45991</v>
      </c>
      <c r="G100" s="5">
        <v>53</v>
      </c>
      <c r="H100" s="5">
        <v>774</v>
      </c>
      <c r="I100" s="6">
        <v>1.8737999999999999</v>
      </c>
      <c r="J100" s="5">
        <v>0</v>
      </c>
      <c r="K100" s="7">
        <v>0.29399999999999998</v>
      </c>
      <c r="L100" s="5">
        <v>2234</v>
      </c>
      <c r="M100" s="6">
        <v>4.79</v>
      </c>
    </row>
    <row r="101" spans="1:13" x14ac:dyDescent="0.35">
      <c r="A101" s="4" t="s">
        <v>576</v>
      </c>
      <c r="B101" s="4" t="s">
        <v>899</v>
      </c>
      <c r="C101" s="4" t="str">
        <f t="shared" si="3"/>
        <v>2 BHK Modern Flats Shahad | Kohinoor Gar</v>
      </c>
      <c r="D101" s="4" t="str">
        <f t="shared" ca="1" si="4"/>
        <v>Last 365 Days</v>
      </c>
      <c r="E101" s="13">
        <v>45966</v>
      </c>
      <c r="F101" s="23">
        <f t="shared" si="5"/>
        <v>45991</v>
      </c>
      <c r="G101" s="5">
        <v>45</v>
      </c>
      <c r="H101" s="5">
        <v>881</v>
      </c>
      <c r="I101" s="6">
        <v>3.5004</v>
      </c>
      <c r="J101" s="5">
        <v>1</v>
      </c>
      <c r="K101" s="7">
        <v>0.40899999999999997</v>
      </c>
      <c r="L101" s="5">
        <v>2354</v>
      </c>
      <c r="M101" s="6">
        <v>5.0999999999999996</v>
      </c>
    </row>
    <row r="102" spans="1:13" x14ac:dyDescent="0.35">
      <c r="A102" s="4" t="s">
        <v>606</v>
      </c>
      <c r="B102" s="4" t="s">
        <v>607</v>
      </c>
      <c r="C102" s="4" t="str">
        <f t="shared" si="3"/>
        <v>Premium 2BHK Flats for Sale | Palika Jun</v>
      </c>
      <c r="D102" s="4" t="str">
        <f t="shared" ca="1" si="4"/>
        <v>Last 365 Days</v>
      </c>
      <c r="E102" s="13">
        <v>45966</v>
      </c>
      <c r="F102" s="23">
        <f t="shared" si="5"/>
        <v>45991</v>
      </c>
      <c r="G102" s="5">
        <v>141</v>
      </c>
      <c r="H102" s="5">
        <v>844</v>
      </c>
      <c r="I102" s="6">
        <v>10.4634</v>
      </c>
      <c r="J102" s="5">
        <v>2</v>
      </c>
      <c r="K102" s="7">
        <v>16.405999999999999</v>
      </c>
      <c r="L102" s="5">
        <v>19406</v>
      </c>
      <c r="M102" s="6">
        <v>3.94</v>
      </c>
    </row>
    <row r="103" spans="1:13" x14ac:dyDescent="0.35">
      <c r="A103" s="4" t="s">
        <v>648</v>
      </c>
      <c r="B103" s="4" t="s">
        <v>649</v>
      </c>
      <c r="C103" s="4" t="str">
        <f t="shared" si="3"/>
        <v>Call 7021988393 | Manokamana Kalyan West</v>
      </c>
      <c r="D103" s="4" t="str">
        <f t="shared" ca="1" si="4"/>
        <v>Last 365 Days</v>
      </c>
      <c r="E103" s="13">
        <v>45966</v>
      </c>
      <c r="F103" s="23">
        <f t="shared" si="5"/>
        <v>45991</v>
      </c>
      <c r="G103" s="5">
        <v>41</v>
      </c>
      <c r="H103" s="5">
        <v>814</v>
      </c>
      <c r="I103" s="6">
        <v>2.1126</v>
      </c>
      <c r="J103" s="5">
        <v>0</v>
      </c>
      <c r="K103" s="7">
        <v>0.33600000000000002</v>
      </c>
      <c r="L103" s="5">
        <v>1450</v>
      </c>
      <c r="M103" s="6">
        <v>3.86</v>
      </c>
    </row>
    <row r="104" spans="1:13" x14ac:dyDescent="0.35">
      <c r="A104" s="4" t="s">
        <v>267</v>
      </c>
      <c r="B104" s="4" t="s">
        <v>978</v>
      </c>
      <c r="C104" s="4" t="str">
        <f t="shared" si="3"/>
        <v>Raunak Earth Park Kalyan West | Afforda</v>
      </c>
      <c r="D104" s="4" t="str">
        <f t="shared" ca="1" si="4"/>
        <v>Last 365 Days</v>
      </c>
      <c r="E104" s="13">
        <v>45963</v>
      </c>
      <c r="F104" s="23">
        <f t="shared" si="5"/>
        <v>45991</v>
      </c>
      <c r="G104" s="5">
        <v>256</v>
      </c>
      <c r="H104" s="5">
        <v>1411</v>
      </c>
      <c r="I104" s="6">
        <v>33.474600000000002</v>
      </c>
      <c r="J104" s="5">
        <v>11</v>
      </c>
      <c r="K104" s="7">
        <v>127.56699999999999</v>
      </c>
      <c r="L104" s="5">
        <v>11773</v>
      </c>
      <c r="M104" s="6">
        <v>10.26</v>
      </c>
    </row>
    <row r="105" spans="1:13" x14ac:dyDescent="0.35">
      <c r="A105" s="4" t="s">
        <v>549</v>
      </c>
      <c r="B105" s="4" t="s">
        <v>550</v>
      </c>
      <c r="C105" s="4" t="str">
        <f t="shared" si="3"/>
        <v>Call 7021988393 | Ultra Luxurious Premiu</v>
      </c>
      <c r="D105" s="4" t="str">
        <f t="shared" ca="1" si="4"/>
        <v>Last 365 Days</v>
      </c>
      <c r="E105" s="13">
        <v>45962</v>
      </c>
      <c r="F105" s="23">
        <f t="shared" si="5"/>
        <v>45991</v>
      </c>
      <c r="G105" s="5">
        <v>57</v>
      </c>
      <c r="H105" s="5">
        <v>917</v>
      </c>
      <c r="I105" s="6">
        <v>2.5754000000000001</v>
      </c>
      <c r="J105" s="5">
        <v>0</v>
      </c>
      <c r="K105" s="7">
        <v>0.79400000000000004</v>
      </c>
      <c r="L105" s="5">
        <v>4178</v>
      </c>
      <c r="M105" s="6">
        <v>3.93</v>
      </c>
    </row>
    <row r="106" spans="1:13" x14ac:dyDescent="0.35">
      <c r="A106" s="4" t="s">
        <v>286</v>
      </c>
      <c r="B106" s="4" t="s">
        <v>287</v>
      </c>
      <c r="C106" s="4" t="str">
        <f t="shared" si="3"/>
        <v>Call 7021988393 | Tata Amantra 2BHK Samp</v>
      </c>
      <c r="D106" s="4" t="str">
        <f t="shared" ca="1" si="4"/>
        <v>Last 365 Days</v>
      </c>
      <c r="E106" s="13">
        <v>45961</v>
      </c>
      <c r="F106" s="23">
        <f t="shared" si="5"/>
        <v>45961</v>
      </c>
      <c r="G106" s="5">
        <v>57</v>
      </c>
      <c r="H106" s="5">
        <v>1332</v>
      </c>
      <c r="I106" s="6">
        <v>4.3521000000000001</v>
      </c>
      <c r="J106" s="5">
        <v>0</v>
      </c>
      <c r="K106" s="7">
        <v>0.60199999999999998</v>
      </c>
      <c r="L106" s="5">
        <v>3756</v>
      </c>
      <c r="M106" s="6">
        <v>5.43</v>
      </c>
    </row>
    <row r="107" spans="1:13" x14ac:dyDescent="0.35">
      <c r="A107" s="4" t="s">
        <v>198</v>
      </c>
      <c r="B107" s="4" t="s">
        <v>199</v>
      </c>
      <c r="C107" s="4" t="str">
        <f t="shared" si="3"/>
        <v>Lodha Palava 4 BHK Ultra Luxury Flat For</v>
      </c>
      <c r="D107" s="4" t="str">
        <f t="shared" ca="1" si="4"/>
        <v>Last 365 Days</v>
      </c>
      <c r="E107" s="13">
        <v>45960</v>
      </c>
      <c r="F107" s="23">
        <f t="shared" si="5"/>
        <v>45961</v>
      </c>
      <c r="G107" s="5">
        <v>95</v>
      </c>
      <c r="H107" s="5">
        <v>1648</v>
      </c>
      <c r="I107" s="6">
        <v>6.4833999999999996</v>
      </c>
      <c r="J107" s="5">
        <v>2</v>
      </c>
      <c r="K107" s="7">
        <v>0.98</v>
      </c>
      <c r="L107" s="5">
        <v>3679</v>
      </c>
      <c r="M107" s="6">
        <v>5.84</v>
      </c>
    </row>
    <row r="108" spans="1:13" x14ac:dyDescent="0.35">
      <c r="A108" s="4" t="s">
        <v>449</v>
      </c>
      <c r="B108" s="4" t="s">
        <v>450</v>
      </c>
      <c r="C108" s="4" t="str">
        <f t="shared" si="3"/>
        <v>Lodha Hanging Gardens Palava | 3 &amp; 4 BHK</v>
      </c>
      <c r="D108" s="4" t="str">
        <f t="shared" ca="1" si="4"/>
        <v>Last 365 Days</v>
      </c>
      <c r="E108" s="13">
        <v>45960</v>
      </c>
      <c r="F108" s="23">
        <f t="shared" si="5"/>
        <v>45961</v>
      </c>
      <c r="G108" s="5">
        <v>88</v>
      </c>
      <c r="H108" s="5">
        <v>1041</v>
      </c>
      <c r="I108" s="6">
        <v>9.2952999999999992</v>
      </c>
      <c r="J108" s="5">
        <v>0</v>
      </c>
      <c r="K108" s="7">
        <v>45.67</v>
      </c>
      <c r="L108" s="5">
        <v>14016</v>
      </c>
      <c r="M108" s="6">
        <v>6.39</v>
      </c>
    </row>
    <row r="109" spans="1:13" x14ac:dyDescent="0.35">
      <c r="A109" s="4" t="s">
        <v>260</v>
      </c>
      <c r="B109" s="4" t="s">
        <v>261</v>
      </c>
      <c r="C109" s="4" t="str">
        <f t="shared" si="3"/>
        <v>Luxury 2 BHK Flats in JP Anant Kalyan We</v>
      </c>
      <c r="D109" s="4" t="str">
        <f t="shared" ca="1" si="4"/>
        <v>Last 365 Days</v>
      </c>
      <c r="E109" s="13">
        <v>45959</v>
      </c>
      <c r="F109" s="23">
        <f t="shared" si="5"/>
        <v>45961</v>
      </c>
      <c r="G109" s="5">
        <v>92</v>
      </c>
      <c r="H109" s="5">
        <v>1427</v>
      </c>
      <c r="I109" s="6">
        <v>7.0946999999999996</v>
      </c>
      <c r="J109" s="5">
        <v>1</v>
      </c>
      <c r="K109" s="7">
        <v>0.59699999999999998</v>
      </c>
      <c r="L109" s="5">
        <v>4454</v>
      </c>
      <c r="M109" s="6">
        <v>4.96</v>
      </c>
    </row>
    <row r="110" spans="1:13" x14ac:dyDescent="0.35">
      <c r="A110" s="4" t="s">
        <v>324</v>
      </c>
      <c r="B110" s="4" t="s">
        <v>325</v>
      </c>
      <c r="C110" s="4" t="str">
        <f t="shared" si="3"/>
        <v>Call 7021988393 | Raunak Earth Park Kaly</v>
      </c>
      <c r="D110" s="4" t="str">
        <f t="shared" ca="1" si="4"/>
        <v>Last 365 Days</v>
      </c>
      <c r="E110" s="13">
        <v>45959</v>
      </c>
      <c r="F110" s="23">
        <f t="shared" si="5"/>
        <v>45961</v>
      </c>
      <c r="G110" s="5">
        <v>65</v>
      </c>
      <c r="H110" s="5">
        <v>1264</v>
      </c>
      <c r="I110" s="6">
        <v>6.4273999999999996</v>
      </c>
      <c r="J110" s="5">
        <v>0</v>
      </c>
      <c r="K110" s="7">
        <v>0.48899999999999999</v>
      </c>
      <c r="L110" s="5">
        <v>5216</v>
      </c>
      <c r="M110" s="6">
        <v>4.95</v>
      </c>
    </row>
    <row r="111" spans="1:13" x14ac:dyDescent="0.35">
      <c r="A111" s="4" t="s">
        <v>718</v>
      </c>
      <c r="B111" s="4" t="s">
        <v>719</v>
      </c>
      <c r="C111" s="4" t="str">
        <f t="shared" si="3"/>
        <v>Tharwani Vedant Millenia Titwala | Drone</v>
      </c>
      <c r="D111" s="4" t="str">
        <f t="shared" ca="1" si="4"/>
        <v>Last 365 Days</v>
      </c>
      <c r="E111" s="13">
        <v>45959</v>
      </c>
      <c r="F111" s="23">
        <f t="shared" si="5"/>
        <v>45961</v>
      </c>
      <c r="G111" s="5">
        <v>891</v>
      </c>
      <c r="H111" s="5">
        <v>750</v>
      </c>
      <c r="I111" s="6">
        <v>35.196800000000003</v>
      </c>
      <c r="J111" s="5">
        <v>1</v>
      </c>
      <c r="K111" s="7">
        <v>62.954000000000001</v>
      </c>
      <c r="L111" s="5">
        <v>7514</v>
      </c>
      <c r="M111" s="6">
        <v>7.57</v>
      </c>
    </row>
    <row r="112" spans="1:13" x14ac:dyDescent="0.35">
      <c r="A112" s="4" t="s">
        <v>177</v>
      </c>
      <c r="B112" s="4" t="s">
        <v>914</v>
      </c>
      <c r="C112" s="4" t="str">
        <f t="shared" si="3"/>
        <v>Call 7021988393 | Raunak Earth Park 2BHK</v>
      </c>
      <c r="D112" s="4" t="str">
        <f t="shared" ca="1" si="4"/>
        <v>Last 365 Days</v>
      </c>
      <c r="E112" s="13">
        <v>45958</v>
      </c>
      <c r="F112" s="23">
        <f t="shared" si="5"/>
        <v>45961</v>
      </c>
      <c r="G112" s="5">
        <v>53</v>
      </c>
      <c r="H112" s="5">
        <v>1756</v>
      </c>
      <c r="I112" s="6">
        <v>8.4658999999999995</v>
      </c>
      <c r="J112" s="5">
        <v>1</v>
      </c>
      <c r="K112" s="7">
        <v>0.79500000000000004</v>
      </c>
      <c r="L112" s="5">
        <v>7508</v>
      </c>
      <c r="M112" s="6">
        <v>6.29</v>
      </c>
    </row>
    <row r="113" spans="1:13" x14ac:dyDescent="0.35">
      <c r="A113" s="4" t="s">
        <v>315</v>
      </c>
      <c r="B113" s="4" t="s">
        <v>316</v>
      </c>
      <c r="C113" s="4" t="str">
        <f t="shared" si="3"/>
        <v xml:space="preserve">Kalyan West Sarvoday Marvel | 1 &amp; 2 BHK </v>
      </c>
      <c r="D113" s="4" t="str">
        <f t="shared" ca="1" si="4"/>
        <v>Last 365 Days</v>
      </c>
      <c r="E113" s="13">
        <v>45958</v>
      </c>
      <c r="F113" s="23">
        <f t="shared" si="5"/>
        <v>45961</v>
      </c>
      <c r="G113" s="5">
        <v>250</v>
      </c>
      <c r="H113" s="5">
        <v>1273</v>
      </c>
      <c r="I113" s="6">
        <v>16.2927</v>
      </c>
      <c r="J113" s="5">
        <v>2</v>
      </c>
      <c r="K113" s="7">
        <v>17.21</v>
      </c>
      <c r="L113" s="5">
        <v>40219</v>
      </c>
      <c r="M113" s="6">
        <v>2.98</v>
      </c>
    </row>
    <row r="114" spans="1:13" x14ac:dyDescent="0.35">
      <c r="A114" s="4" t="s">
        <v>664</v>
      </c>
      <c r="B114" s="4" t="s">
        <v>665</v>
      </c>
      <c r="C114" s="4" t="str">
        <f t="shared" si="3"/>
        <v xml:space="preserve">2 BHK Flat for Sale in Thakurli | Metro </v>
      </c>
      <c r="D114" s="4" t="str">
        <f t="shared" ca="1" si="4"/>
        <v>Last 365 Days</v>
      </c>
      <c r="E114" s="13">
        <v>45958</v>
      </c>
      <c r="F114" s="23">
        <f t="shared" si="5"/>
        <v>45961</v>
      </c>
      <c r="G114" s="5">
        <v>70</v>
      </c>
      <c r="H114" s="5">
        <v>798</v>
      </c>
      <c r="I114" s="6">
        <v>2.9243999999999999</v>
      </c>
      <c r="J114" s="5">
        <v>0</v>
      </c>
      <c r="K114" s="7">
        <v>0.33</v>
      </c>
      <c r="L114" s="5">
        <v>1823</v>
      </c>
      <c r="M114" s="6">
        <v>5.05</v>
      </c>
    </row>
    <row r="115" spans="1:13" x14ac:dyDescent="0.35">
      <c r="A115" s="4" t="s">
        <v>214</v>
      </c>
      <c r="B115" s="4" t="s">
        <v>215</v>
      </c>
      <c r="C115" s="4" t="str">
        <f t="shared" si="3"/>
        <v>Call 7021988393 | Tharwani Vedant Millen</v>
      </c>
      <c r="D115" s="4" t="str">
        <f t="shared" ca="1" si="4"/>
        <v>Last 365 Days</v>
      </c>
      <c r="E115" s="13">
        <v>45956</v>
      </c>
      <c r="F115" s="23">
        <f t="shared" si="5"/>
        <v>45961</v>
      </c>
      <c r="G115" s="5">
        <v>42</v>
      </c>
      <c r="H115" s="5">
        <v>1573</v>
      </c>
      <c r="I115" s="6">
        <v>5.5179999999999998</v>
      </c>
      <c r="J115" s="5">
        <v>2</v>
      </c>
      <c r="K115" s="7">
        <v>0.84499999999999997</v>
      </c>
      <c r="L115" s="5">
        <v>4526</v>
      </c>
      <c r="M115" s="6">
        <v>6.36</v>
      </c>
    </row>
    <row r="116" spans="1:13" x14ac:dyDescent="0.35">
      <c r="A116" s="4" t="s">
        <v>750</v>
      </c>
      <c r="B116" s="4" t="s">
        <v>751</v>
      </c>
      <c r="C116" s="4" t="str">
        <f t="shared" si="3"/>
        <v>Call 7021988393 | Heaven Enclave 1BHK UC</v>
      </c>
      <c r="D116" s="4" t="str">
        <f t="shared" ca="1" si="4"/>
        <v>Last 365 Days</v>
      </c>
      <c r="E116" s="13">
        <v>45955</v>
      </c>
      <c r="F116" s="23">
        <f t="shared" si="5"/>
        <v>45961</v>
      </c>
      <c r="G116" s="5">
        <v>47</v>
      </c>
      <c r="H116" s="5">
        <v>720</v>
      </c>
      <c r="I116" s="6">
        <v>2.2391999999999999</v>
      </c>
      <c r="J116" s="5">
        <v>0</v>
      </c>
      <c r="K116" s="7">
        <v>0.38300000000000001</v>
      </c>
      <c r="L116" s="5">
        <v>4356</v>
      </c>
      <c r="M116" s="6">
        <v>3.93</v>
      </c>
    </row>
    <row r="117" spans="1:13" x14ac:dyDescent="0.35">
      <c r="A117" s="4" t="s">
        <v>494</v>
      </c>
      <c r="B117" s="4" t="s">
        <v>495</v>
      </c>
      <c r="C117" s="4" t="str">
        <f t="shared" si="3"/>
        <v>Call 7021988393 | 2BHK FURNISHED FLAT IN</v>
      </c>
      <c r="D117" s="4" t="str">
        <f t="shared" ca="1" si="4"/>
        <v>Last 365 Days</v>
      </c>
      <c r="E117" s="13">
        <v>45954</v>
      </c>
      <c r="F117" s="23">
        <f t="shared" si="5"/>
        <v>45961</v>
      </c>
      <c r="G117" s="5">
        <v>64</v>
      </c>
      <c r="H117" s="5">
        <v>974</v>
      </c>
      <c r="I117" s="6">
        <v>3.4279000000000002</v>
      </c>
      <c r="J117" s="5">
        <v>1</v>
      </c>
      <c r="K117" s="7">
        <v>0.59499999999999997</v>
      </c>
      <c r="L117" s="5">
        <v>1844</v>
      </c>
      <c r="M117" s="6">
        <v>4.66</v>
      </c>
    </row>
    <row r="118" spans="1:13" x14ac:dyDescent="0.35">
      <c r="A118" s="4" t="s">
        <v>678</v>
      </c>
      <c r="B118" s="4" t="s">
        <v>679</v>
      </c>
      <c r="C118" s="4" t="str">
        <f t="shared" si="3"/>
        <v>1 BHK Flat for Sale in Titwala | A1 Livi</v>
      </c>
      <c r="D118" s="4" t="str">
        <f t="shared" ca="1" si="4"/>
        <v>Last 365 Days</v>
      </c>
      <c r="E118" s="13">
        <v>45954</v>
      </c>
      <c r="F118" s="23">
        <f t="shared" si="5"/>
        <v>45961</v>
      </c>
      <c r="G118" s="5">
        <v>56</v>
      </c>
      <c r="H118" s="5">
        <v>791</v>
      </c>
      <c r="I118" s="6">
        <v>3.0487000000000002</v>
      </c>
      <c r="J118" s="5">
        <v>1</v>
      </c>
      <c r="K118" s="7">
        <v>0.32</v>
      </c>
      <c r="L118" s="5">
        <v>4640</v>
      </c>
      <c r="M118" s="6">
        <v>2.95</v>
      </c>
    </row>
    <row r="119" spans="1:13" x14ac:dyDescent="0.35">
      <c r="A119" s="4" t="s">
        <v>541</v>
      </c>
      <c r="B119" s="4" t="s">
        <v>542</v>
      </c>
      <c r="C119" s="4" t="str">
        <f t="shared" si="3"/>
        <v xml:space="preserve">Kalyan Me Aapke Budget Me 2BHK Spacious </v>
      </c>
      <c r="D119" s="4" t="str">
        <f t="shared" ca="1" si="4"/>
        <v>Last 365 Days</v>
      </c>
      <c r="E119" s="13">
        <v>45953</v>
      </c>
      <c r="F119" s="23">
        <f t="shared" si="5"/>
        <v>45961</v>
      </c>
      <c r="G119" s="5">
        <v>49</v>
      </c>
      <c r="H119" s="5">
        <v>927</v>
      </c>
      <c r="I119" s="6">
        <v>2.4174000000000002</v>
      </c>
      <c r="J119" s="5">
        <v>0</v>
      </c>
      <c r="K119" s="7">
        <v>0.34899999999999998</v>
      </c>
      <c r="L119" s="5">
        <v>3015</v>
      </c>
      <c r="M119" s="6">
        <v>4.54</v>
      </c>
    </row>
    <row r="120" spans="1:13" x14ac:dyDescent="0.35">
      <c r="A120" s="4" t="s">
        <v>730</v>
      </c>
      <c r="B120" s="4" t="s">
        <v>731</v>
      </c>
      <c r="C120" s="4" t="str">
        <f t="shared" si="3"/>
        <v xml:space="preserve">A1 Living Titwala | Subhash Residency | </v>
      </c>
      <c r="D120" s="4" t="str">
        <f t="shared" ca="1" si="4"/>
        <v>Last 365 Days</v>
      </c>
      <c r="E120" s="13">
        <v>45953</v>
      </c>
      <c r="F120" s="23">
        <f t="shared" si="5"/>
        <v>45961</v>
      </c>
      <c r="G120" s="5">
        <v>158</v>
      </c>
      <c r="H120" s="5">
        <v>743</v>
      </c>
      <c r="I120" s="6">
        <v>13.361800000000001</v>
      </c>
      <c r="J120" s="5">
        <v>1</v>
      </c>
      <c r="K120" s="7">
        <v>27.890999999999998</v>
      </c>
      <c r="L120" s="5">
        <v>8628</v>
      </c>
      <c r="M120" s="6">
        <v>6.93</v>
      </c>
    </row>
    <row r="121" spans="1:13" x14ac:dyDescent="0.35">
      <c r="A121" s="4" t="s">
        <v>229</v>
      </c>
      <c r="B121" s="4" t="s">
        <v>230</v>
      </c>
      <c r="C121" s="4" t="str">
        <f t="shared" si="3"/>
        <v>Sarvoday Marvel | 2 BHK Sample Flat Tour</v>
      </c>
      <c r="D121" s="4" t="str">
        <f t="shared" ca="1" si="4"/>
        <v>Last 365 Days</v>
      </c>
      <c r="E121" s="13">
        <v>45952</v>
      </c>
      <c r="F121" s="23">
        <f t="shared" si="5"/>
        <v>45961</v>
      </c>
      <c r="G121" s="5">
        <v>51</v>
      </c>
      <c r="H121" s="5">
        <v>1535</v>
      </c>
      <c r="I121" s="6">
        <v>4.0035999999999996</v>
      </c>
      <c r="J121" s="5">
        <v>1</v>
      </c>
      <c r="K121" s="7">
        <v>0.57399999999999995</v>
      </c>
      <c r="L121" s="5">
        <v>3386</v>
      </c>
      <c r="M121" s="6">
        <v>6.56</v>
      </c>
    </row>
    <row r="122" spans="1:13" x14ac:dyDescent="0.35">
      <c r="A122" s="4" t="s">
        <v>403</v>
      </c>
      <c r="B122" s="4" t="s">
        <v>404</v>
      </c>
      <c r="C122" s="4" t="str">
        <f t="shared" si="3"/>
        <v>Spacious 1 BHK Flat for Sale in Kalyan E</v>
      </c>
      <c r="D122" s="4" t="str">
        <f t="shared" ca="1" si="4"/>
        <v>Last 365 Days</v>
      </c>
      <c r="E122" s="13">
        <v>45952</v>
      </c>
      <c r="F122" s="23">
        <f t="shared" si="5"/>
        <v>45961</v>
      </c>
      <c r="G122" s="5">
        <v>39</v>
      </c>
      <c r="H122" s="5">
        <v>1110</v>
      </c>
      <c r="I122" s="6">
        <v>3.2336</v>
      </c>
      <c r="J122" s="5">
        <v>0</v>
      </c>
      <c r="K122" s="7">
        <v>0.5</v>
      </c>
      <c r="L122" s="5">
        <v>2786</v>
      </c>
      <c r="M122" s="6">
        <v>4.74</v>
      </c>
    </row>
    <row r="123" spans="1:13" x14ac:dyDescent="0.35">
      <c r="A123" s="4" t="s">
        <v>244</v>
      </c>
      <c r="B123" s="4" t="s">
        <v>245</v>
      </c>
      <c r="C123" s="4" t="str">
        <f t="shared" si="3"/>
        <v>1 BHK Titwala East | Astha Omkar | Budge</v>
      </c>
      <c r="D123" s="4" t="str">
        <f t="shared" ca="1" si="4"/>
        <v>Last 365 Days</v>
      </c>
      <c r="E123" s="13">
        <v>45951</v>
      </c>
      <c r="F123" s="23">
        <f t="shared" si="5"/>
        <v>45961</v>
      </c>
      <c r="G123" s="5">
        <v>50</v>
      </c>
      <c r="H123" s="5">
        <v>1473</v>
      </c>
      <c r="I123" s="6">
        <v>4.6656000000000004</v>
      </c>
      <c r="J123" s="5">
        <v>2</v>
      </c>
      <c r="K123" s="7">
        <v>0.51300000000000001</v>
      </c>
      <c r="L123" s="5">
        <v>5900</v>
      </c>
      <c r="M123" s="6">
        <v>3.47</v>
      </c>
    </row>
    <row r="124" spans="1:13" x14ac:dyDescent="0.35">
      <c r="A124" s="4" t="s">
        <v>480</v>
      </c>
      <c r="B124" s="4" t="s">
        <v>481</v>
      </c>
      <c r="C124" s="4" t="str">
        <f t="shared" si="3"/>
        <v>Call 7021988393 | Kingsman Residency Kal</v>
      </c>
      <c r="D124" s="4" t="str">
        <f t="shared" ca="1" si="4"/>
        <v>Last 365 Days</v>
      </c>
      <c r="E124" s="13">
        <v>45951</v>
      </c>
      <c r="F124" s="23">
        <f t="shared" si="5"/>
        <v>45961</v>
      </c>
      <c r="G124" s="5">
        <v>83</v>
      </c>
      <c r="H124" s="5">
        <v>986</v>
      </c>
      <c r="I124" s="6">
        <v>4.117</v>
      </c>
      <c r="J124" s="5">
        <v>0</v>
      </c>
      <c r="K124" s="7">
        <v>0.60599999999999998</v>
      </c>
      <c r="L124" s="5">
        <v>3477</v>
      </c>
      <c r="M124" s="6">
        <v>5.72</v>
      </c>
    </row>
    <row r="125" spans="1:13" x14ac:dyDescent="0.35">
      <c r="A125" s="4" t="s">
        <v>361</v>
      </c>
      <c r="B125" s="4" t="s">
        <v>362</v>
      </c>
      <c r="C125" s="4" t="str">
        <f t="shared" si="3"/>
        <v xml:space="preserve">Aastha Omkar Titwala | 1BHK Luxury Flat </v>
      </c>
      <c r="D125" s="4" t="str">
        <f t="shared" ca="1" si="4"/>
        <v>Last 365 Days</v>
      </c>
      <c r="E125" s="13">
        <v>45948</v>
      </c>
      <c r="F125" s="23">
        <f t="shared" si="5"/>
        <v>45961</v>
      </c>
      <c r="G125" s="5">
        <v>64</v>
      </c>
      <c r="H125" s="5">
        <v>1189</v>
      </c>
      <c r="I125" s="6">
        <v>5.1441999999999997</v>
      </c>
      <c r="J125" s="5">
        <v>0</v>
      </c>
      <c r="K125" s="7">
        <v>0.45100000000000001</v>
      </c>
      <c r="L125" s="5">
        <v>3887</v>
      </c>
      <c r="M125" s="6">
        <v>5.92</v>
      </c>
    </row>
    <row r="126" spans="1:13" x14ac:dyDescent="0.35">
      <c r="A126" s="4" t="s">
        <v>475</v>
      </c>
      <c r="B126" s="4" t="s">
        <v>476</v>
      </c>
      <c r="C126" s="4" t="str">
        <f t="shared" si="3"/>
        <v>Call 7021988393 | Anandi Imperial Dombiv</v>
      </c>
      <c r="D126" s="4" t="str">
        <f t="shared" ca="1" si="4"/>
        <v>Last 365 Days</v>
      </c>
      <c r="E126" s="13">
        <v>45947</v>
      </c>
      <c r="F126" s="23">
        <f t="shared" si="5"/>
        <v>45961</v>
      </c>
      <c r="G126" s="5">
        <v>33</v>
      </c>
      <c r="H126" s="5">
        <v>994</v>
      </c>
      <c r="I126" s="6">
        <v>3.4224000000000001</v>
      </c>
      <c r="J126" s="5">
        <v>0</v>
      </c>
      <c r="K126" s="7">
        <v>0.51600000000000001</v>
      </c>
      <c r="L126" s="5">
        <v>2971</v>
      </c>
      <c r="M126" s="6">
        <v>6.29</v>
      </c>
    </row>
    <row r="127" spans="1:13" x14ac:dyDescent="0.35">
      <c r="A127" s="4" t="s">
        <v>545</v>
      </c>
      <c r="B127" s="4" t="s">
        <v>546</v>
      </c>
      <c r="C127" s="4" t="str">
        <f t="shared" si="3"/>
        <v>Call 7021988393 | Godrej Upavan 2BHK Sam</v>
      </c>
      <c r="D127" s="4" t="str">
        <f t="shared" ca="1" si="4"/>
        <v>Last 365 Days</v>
      </c>
      <c r="E127" s="13">
        <v>45946</v>
      </c>
      <c r="F127" s="23">
        <f t="shared" si="5"/>
        <v>45961</v>
      </c>
      <c r="G127" s="5">
        <v>51</v>
      </c>
      <c r="H127" s="5">
        <v>921</v>
      </c>
      <c r="I127" s="6">
        <v>2.5739999999999998</v>
      </c>
      <c r="J127" s="5">
        <v>0</v>
      </c>
      <c r="K127" s="7">
        <v>0.44800000000000001</v>
      </c>
      <c r="L127" s="5">
        <v>2655</v>
      </c>
      <c r="M127" s="6">
        <v>4.29</v>
      </c>
    </row>
    <row r="128" spans="1:13" x14ac:dyDescent="0.35">
      <c r="A128" s="4" t="s">
        <v>513</v>
      </c>
      <c r="B128" s="4" t="s">
        <v>514</v>
      </c>
      <c r="C128" s="4" t="str">
        <f t="shared" si="3"/>
        <v>Call 7021988393 | SPACIOUS LUXURY 2BHK F</v>
      </c>
      <c r="D128" s="4" t="str">
        <f t="shared" ca="1" si="4"/>
        <v>Last 365 Days</v>
      </c>
      <c r="E128" s="13">
        <v>45945</v>
      </c>
      <c r="F128" s="23">
        <f t="shared" si="5"/>
        <v>45961</v>
      </c>
      <c r="G128" s="5">
        <v>32</v>
      </c>
      <c r="H128" s="5">
        <v>949</v>
      </c>
      <c r="I128" s="6">
        <v>1.5092000000000001</v>
      </c>
      <c r="J128" s="5">
        <v>0</v>
      </c>
      <c r="K128" s="7">
        <v>0.28000000000000003</v>
      </c>
      <c r="L128" s="5">
        <v>2124</v>
      </c>
      <c r="M128" s="6">
        <v>4.0999999999999996</v>
      </c>
    </row>
    <row r="129" spans="1:13" x14ac:dyDescent="0.35">
      <c r="A129" s="4" t="s">
        <v>248</v>
      </c>
      <c r="B129" s="4" t="s">
        <v>249</v>
      </c>
      <c r="C129" s="4" t="str">
        <f t="shared" si="3"/>
        <v>1 BHK Flat in Raunak City Kalyan | Luxur</v>
      </c>
      <c r="D129" s="4" t="str">
        <f t="shared" ca="1" si="4"/>
        <v>Last 365 Days</v>
      </c>
      <c r="E129" s="13">
        <v>45942</v>
      </c>
      <c r="F129" s="23">
        <f t="shared" si="5"/>
        <v>45961</v>
      </c>
      <c r="G129" s="5">
        <v>35</v>
      </c>
      <c r="H129" s="5">
        <v>1457</v>
      </c>
      <c r="I129" s="6">
        <v>5.1840999999999999</v>
      </c>
      <c r="J129" s="5">
        <v>1</v>
      </c>
      <c r="K129" s="7">
        <v>0.80600000000000005</v>
      </c>
      <c r="L129" s="5">
        <v>6936</v>
      </c>
      <c r="M129" s="6">
        <v>5.0999999999999996</v>
      </c>
    </row>
    <row r="130" spans="1:13" x14ac:dyDescent="0.35">
      <c r="A130" s="4" t="s">
        <v>421</v>
      </c>
      <c r="B130" s="4" t="s">
        <v>422</v>
      </c>
      <c r="C130" s="4" t="str">
        <f t="shared" si="3"/>
        <v>Call 7021988393 | Lodha Crown Dombivli 2</v>
      </c>
      <c r="D130" s="4" t="str">
        <f t="shared" ca="1" si="4"/>
        <v>Last 365 Days</v>
      </c>
      <c r="E130" s="13">
        <v>45942</v>
      </c>
      <c r="F130" s="23">
        <f t="shared" si="5"/>
        <v>45961</v>
      </c>
      <c r="G130" s="5">
        <v>52</v>
      </c>
      <c r="H130" s="5">
        <v>1074</v>
      </c>
      <c r="I130" s="6">
        <v>2.778</v>
      </c>
      <c r="J130" s="5">
        <v>1</v>
      </c>
      <c r="K130" s="7">
        <v>0.44</v>
      </c>
      <c r="L130" s="5">
        <v>3980</v>
      </c>
      <c r="M130" s="6">
        <v>4.17</v>
      </c>
    </row>
    <row r="131" spans="1:13" x14ac:dyDescent="0.35">
      <c r="A131" s="4" t="s">
        <v>262</v>
      </c>
      <c r="B131" s="4" t="s">
        <v>263</v>
      </c>
      <c r="C131" s="4" t="str">
        <f t="shared" ref="C131:C194" si="6">LEFT(B131,40)</f>
        <v>Call 7021988393 | Seasons Green Kalyan W</v>
      </c>
      <c r="D131" s="4" t="str">
        <f t="shared" ref="D131:D194" ca="1" si="7">IF(E131&gt;=TODAY()-28,"Last 28 Days",IF(E131&gt;=TODAY()-90,"Last 90 Days",IF(E131&gt;=TODAY()-365,"Last 365 Days","Older")))</f>
        <v>Last 365 Days</v>
      </c>
      <c r="E131" s="13">
        <v>45941</v>
      </c>
      <c r="F131" s="23">
        <f t="shared" ref="F131:F194" si="8">EOMONTH(E131,0)</f>
        <v>45961</v>
      </c>
      <c r="G131" s="5">
        <v>95</v>
      </c>
      <c r="H131" s="5">
        <v>1423</v>
      </c>
      <c r="I131" s="6">
        <v>8.1928000000000001</v>
      </c>
      <c r="J131" s="5">
        <v>2</v>
      </c>
      <c r="K131" s="7">
        <v>0.80100000000000005</v>
      </c>
      <c r="L131" s="5">
        <v>6203</v>
      </c>
      <c r="M131" s="6">
        <v>6.17</v>
      </c>
    </row>
    <row r="132" spans="1:13" x14ac:dyDescent="0.35">
      <c r="A132" s="4" t="s">
        <v>387</v>
      </c>
      <c r="B132" s="4" t="s">
        <v>388</v>
      </c>
      <c r="C132" s="4" t="str">
        <f t="shared" si="6"/>
        <v>Raunak Earth Park Kalyan West | 3BHK Sam</v>
      </c>
      <c r="D132" s="4" t="str">
        <f t="shared" ca="1" si="7"/>
        <v>Last 365 Days</v>
      </c>
      <c r="E132" s="13">
        <v>45941</v>
      </c>
      <c r="F132" s="23">
        <f t="shared" si="8"/>
        <v>45961</v>
      </c>
      <c r="G132" s="5">
        <v>142</v>
      </c>
      <c r="H132" s="5">
        <v>1147</v>
      </c>
      <c r="I132" s="6">
        <v>24.3127</v>
      </c>
      <c r="J132" s="5">
        <v>2</v>
      </c>
      <c r="K132" s="7">
        <v>100.468</v>
      </c>
      <c r="L132" s="5">
        <v>7116</v>
      </c>
      <c r="M132" s="6">
        <v>11.09</v>
      </c>
    </row>
    <row r="133" spans="1:13" x14ac:dyDescent="0.35">
      <c r="A133" s="4" t="s">
        <v>408</v>
      </c>
      <c r="B133" s="4" t="s">
        <v>986</v>
      </c>
      <c r="C133" s="4" t="str">
        <f t="shared" si="6"/>
        <v xml:space="preserve"> Midtown Adam Eve Kalyan West | Luxury </v>
      </c>
      <c r="D133" s="4" t="str">
        <f t="shared" ca="1" si="7"/>
        <v>Last 365 Days</v>
      </c>
      <c r="E133" s="13">
        <v>45941</v>
      </c>
      <c r="F133" s="23">
        <f t="shared" si="8"/>
        <v>45961</v>
      </c>
      <c r="G133" s="5">
        <v>66</v>
      </c>
      <c r="H133" s="5">
        <v>1100</v>
      </c>
      <c r="I133" s="6">
        <v>5.8479999999999999</v>
      </c>
      <c r="J133" s="5">
        <v>1</v>
      </c>
      <c r="K133" s="7">
        <v>0.51</v>
      </c>
      <c r="L133" s="5">
        <v>2908</v>
      </c>
      <c r="M133" s="6">
        <v>7.74</v>
      </c>
    </row>
    <row r="134" spans="1:13" x14ac:dyDescent="0.35">
      <c r="A134" s="4" t="s">
        <v>281</v>
      </c>
      <c r="B134" s="4" t="s">
        <v>282</v>
      </c>
      <c r="C134" s="4" t="str">
        <f t="shared" si="6"/>
        <v>Raunak Earth Park Kalyan West | Raunak C</v>
      </c>
      <c r="D134" s="4" t="str">
        <f t="shared" ca="1" si="7"/>
        <v>Last 365 Days</v>
      </c>
      <c r="E134" s="13">
        <v>45940</v>
      </c>
      <c r="F134" s="23">
        <f t="shared" si="8"/>
        <v>45961</v>
      </c>
      <c r="G134" s="5">
        <v>178</v>
      </c>
      <c r="H134" s="5">
        <v>1345</v>
      </c>
      <c r="I134" s="6">
        <v>30.309899999999999</v>
      </c>
      <c r="J134" s="5">
        <v>1</v>
      </c>
      <c r="K134" s="7">
        <v>123.309</v>
      </c>
      <c r="L134" s="5">
        <v>6718</v>
      </c>
      <c r="M134" s="6">
        <v>16.88</v>
      </c>
    </row>
    <row r="135" spans="1:13" x14ac:dyDescent="0.35">
      <c r="A135" s="4" t="s">
        <v>283</v>
      </c>
      <c r="B135" s="4" t="s">
        <v>936</v>
      </c>
      <c r="C135" s="4" t="str">
        <f t="shared" si="6"/>
        <v>Seasons Green Kalyan West | Project Revi</v>
      </c>
      <c r="D135" s="4" t="str">
        <f t="shared" ca="1" si="7"/>
        <v>Last 365 Days</v>
      </c>
      <c r="E135" s="13">
        <v>45940</v>
      </c>
      <c r="F135" s="23">
        <f t="shared" si="8"/>
        <v>45961</v>
      </c>
      <c r="G135" s="5">
        <v>239</v>
      </c>
      <c r="H135" s="5">
        <v>1343</v>
      </c>
      <c r="I135" s="6">
        <v>27.755500000000001</v>
      </c>
      <c r="J135" s="5">
        <v>3</v>
      </c>
      <c r="K135" s="7">
        <v>40.606000000000002</v>
      </c>
      <c r="L135" s="5">
        <v>7201</v>
      </c>
      <c r="M135" s="6">
        <v>9.48</v>
      </c>
    </row>
    <row r="136" spans="1:13" x14ac:dyDescent="0.35">
      <c r="A136" s="4" t="s">
        <v>484</v>
      </c>
      <c r="B136" s="4" t="s">
        <v>485</v>
      </c>
      <c r="C136" s="4" t="str">
        <f t="shared" si="6"/>
        <v xml:space="preserve">Call 7021988393 | New Project Launch in </v>
      </c>
      <c r="D136" s="4" t="str">
        <f t="shared" ca="1" si="7"/>
        <v>Last 365 Days</v>
      </c>
      <c r="E136" s="13">
        <v>45940</v>
      </c>
      <c r="F136" s="23">
        <f t="shared" si="8"/>
        <v>45961</v>
      </c>
      <c r="G136" s="5">
        <v>36</v>
      </c>
      <c r="H136" s="5">
        <v>985</v>
      </c>
      <c r="I136" s="6">
        <v>3.6459000000000001</v>
      </c>
      <c r="J136" s="5">
        <v>1</v>
      </c>
      <c r="K136" s="7">
        <v>0.51900000000000002</v>
      </c>
      <c r="L136" s="5">
        <v>3982</v>
      </c>
      <c r="M136" s="6">
        <v>5.17</v>
      </c>
    </row>
    <row r="137" spans="1:13" x14ac:dyDescent="0.35">
      <c r="A137" s="4" t="s">
        <v>272</v>
      </c>
      <c r="B137" s="4" t="s">
        <v>273</v>
      </c>
      <c r="C137" s="4" t="str">
        <f t="shared" si="6"/>
        <v>Call 7021988393 | Kalyan Tallest Tower |</v>
      </c>
      <c r="D137" s="4" t="str">
        <f t="shared" ca="1" si="7"/>
        <v>Last 365 Days</v>
      </c>
      <c r="E137" s="13">
        <v>45939</v>
      </c>
      <c r="F137" s="23">
        <f t="shared" si="8"/>
        <v>45961</v>
      </c>
      <c r="G137" s="5">
        <v>31</v>
      </c>
      <c r="H137" s="5">
        <v>1379</v>
      </c>
      <c r="I137" s="6">
        <v>4.3737000000000004</v>
      </c>
      <c r="J137" s="5">
        <v>0</v>
      </c>
      <c r="K137" s="7">
        <v>0.78700000000000003</v>
      </c>
      <c r="L137" s="5">
        <v>5065</v>
      </c>
      <c r="M137" s="6">
        <v>8.98</v>
      </c>
    </row>
    <row r="138" spans="1:13" x14ac:dyDescent="0.35">
      <c r="A138" s="4" t="s">
        <v>844</v>
      </c>
      <c r="B138" s="4" t="s">
        <v>845</v>
      </c>
      <c r="C138" s="4" t="str">
        <f t="shared" si="6"/>
        <v>4 BHK Flat in Kalyan West | Mohan Presti</v>
      </c>
      <c r="D138" s="4" t="str">
        <f t="shared" ca="1" si="7"/>
        <v>Last 365 Days</v>
      </c>
      <c r="E138" s="13">
        <v>45937</v>
      </c>
      <c r="F138" s="23">
        <f t="shared" si="8"/>
        <v>45961</v>
      </c>
      <c r="G138" s="5">
        <v>44</v>
      </c>
      <c r="H138" s="5">
        <v>624</v>
      </c>
      <c r="I138" s="6">
        <v>1.9607000000000001</v>
      </c>
      <c r="J138" s="5">
        <v>0</v>
      </c>
      <c r="K138" s="7">
        <v>0.313</v>
      </c>
      <c r="L138" s="5">
        <v>3810</v>
      </c>
      <c r="M138" s="6">
        <v>4.2300000000000004</v>
      </c>
    </row>
    <row r="139" spans="1:13" x14ac:dyDescent="0.35">
      <c r="A139" s="4" t="s">
        <v>676</v>
      </c>
      <c r="B139" s="4" t="s">
        <v>677</v>
      </c>
      <c r="C139" s="4" t="str">
        <f t="shared" si="6"/>
        <v>Call 7021988393 | Dombivli Ka Premium Bu</v>
      </c>
      <c r="D139" s="4" t="str">
        <f t="shared" ca="1" si="7"/>
        <v>Last 365 Days</v>
      </c>
      <c r="E139" s="13">
        <v>45933</v>
      </c>
      <c r="F139" s="23">
        <f t="shared" si="8"/>
        <v>45961</v>
      </c>
      <c r="G139" s="5">
        <v>39</v>
      </c>
      <c r="H139" s="5">
        <v>792</v>
      </c>
      <c r="I139" s="6">
        <v>2.4432999999999998</v>
      </c>
      <c r="J139" s="5">
        <v>0</v>
      </c>
      <c r="K139" s="7">
        <v>0.37</v>
      </c>
      <c r="L139" s="5">
        <v>1914</v>
      </c>
      <c r="M139" s="6">
        <v>4.96</v>
      </c>
    </row>
    <row r="140" spans="1:13" x14ac:dyDescent="0.35">
      <c r="A140" s="4" t="s">
        <v>346</v>
      </c>
      <c r="B140" s="4" t="s">
        <v>347</v>
      </c>
      <c r="C140" s="4" t="str">
        <f t="shared" si="6"/>
        <v>Call 7021988393 | Kohinoor Uptown 1BHK F</v>
      </c>
      <c r="D140" s="4" t="str">
        <f t="shared" ca="1" si="7"/>
        <v>Last 365 Days</v>
      </c>
      <c r="E140" s="13">
        <v>45930</v>
      </c>
      <c r="F140" s="23">
        <f t="shared" si="8"/>
        <v>45930</v>
      </c>
      <c r="G140" s="5">
        <v>69</v>
      </c>
      <c r="H140" s="5">
        <v>1213</v>
      </c>
      <c r="I140" s="6">
        <v>4.9264000000000001</v>
      </c>
      <c r="J140" s="5">
        <v>1</v>
      </c>
      <c r="K140" s="7">
        <v>0.72099999999999997</v>
      </c>
      <c r="L140" s="5">
        <v>1779</v>
      </c>
      <c r="M140" s="6">
        <v>5.34</v>
      </c>
    </row>
    <row r="141" spans="1:13" x14ac:dyDescent="0.35">
      <c r="A141" s="4" t="s">
        <v>564</v>
      </c>
      <c r="B141" s="4" t="s">
        <v>565</v>
      </c>
      <c r="C141" s="4" t="str">
        <f t="shared" si="6"/>
        <v>Kalyan Surabhi Homes | 1 BHK Flat for Sa</v>
      </c>
      <c r="D141" s="4" t="str">
        <f t="shared" ca="1" si="7"/>
        <v>Last 365 Days</v>
      </c>
      <c r="E141" s="13">
        <v>45927</v>
      </c>
      <c r="F141" s="23">
        <f t="shared" si="8"/>
        <v>45930</v>
      </c>
      <c r="G141" s="5">
        <v>53</v>
      </c>
      <c r="H141" s="5">
        <v>895</v>
      </c>
      <c r="I141" s="6">
        <v>4.4069000000000003</v>
      </c>
      <c r="J141" s="5">
        <v>0</v>
      </c>
      <c r="K141" s="7">
        <v>0.46200000000000002</v>
      </c>
      <c r="L141" s="5">
        <v>2975</v>
      </c>
      <c r="M141" s="6">
        <v>5.24</v>
      </c>
    </row>
    <row r="142" spans="1:13" x14ac:dyDescent="0.35">
      <c r="A142" s="4" t="s">
        <v>340</v>
      </c>
      <c r="B142" s="4" t="s">
        <v>341</v>
      </c>
      <c r="C142" s="4" t="str">
        <f t="shared" si="6"/>
        <v>Kulswamini Pride Dombivli | 1 &amp; 2 BHK Pr</v>
      </c>
      <c r="D142" s="4" t="str">
        <f t="shared" ca="1" si="7"/>
        <v>Last 365 Days</v>
      </c>
      <c r="E142" s="13">
        <v>45925</v>
      </c>
      <c r="F142" s="23">
        <f t="shared" si="8"/>
        <v>45930</v>
      </c>
      <c r="G142" s="5">
        <v>50</v>
      </c>
      <c r="H142" s="5">
        <v>1231</v>
      </c>
      <c r="I142" s="6">
        <v>4.2355999999999998</v>
      </c>
      <c r="J142" s="5">
        <v>2</v>
      </c>
      <c r="K142" s="7">
        <v>0.54800000000000004</v>
      </c>
      <c r="L142" s="5">
        <v>3021</v>
      </c>
      <c r="M142" s="6">
        <v>5.69</v>
      </c>
    </row>
    <row r="143" spans="1:13" x14ac:dyDescent="0.35">
      <c r="A143" s="4" t="s">
        <v>300</v>
      </c>
      <c r="B143" s="4" t="s">
        <v>301</v>
      </c>
      <c r="C143" s="4" t="str">
        <f t="shared" si="6"/>
        <v>Call 7021988393 | 2BHK Sample Flat of Re</v>
      </c>
      <c r="D143" s="4" t="str">
        <f t="shared" ca="1" si="7"/>
        <v>Last 365 Days</v>
      </c>
      <c r="E143" s="13">
        <v>45923</v>
      </c>
      <c r="F143" s="23">
        <f t="shared" si="8"/>
        <v>45930</v>
      </c>
      <c r="G143" s="5">
        <v>49</v>
      </c>
      <c r="H143" s="5">
        <v>1291</v>
      </c>
      <c r="I143" s="6">
        <v>6.6322999999999999</v>
      </c>
      <c r="J143" s="5">
        <v>2</v>
      </c>
      <c r="K143" s="7">
        <v>0.70399999999999996</v>
      </c>
      <c r="L143" s="5">
        <v>5708</v>
      </c>
      <c r="M143" s="6">
        <v>5.78</v>
      </c>
    </row>
    <row r="144" spans="1:13" x14ac:dyDescent="0.35">
      <c r="A144" s="4" t="s">
        <v>378</v>
      </c>
      <c r="B144" s="4" t="s">
        <v>951</v>
      </c>
      <c r="C144" s="4" t="str">
        <f t="shared" si="6"/>
        <v xml:space="preserve"> Sharda Serene | Luxury 2 BHK Flat for </v>
      </c>
      <c r="D144" s="4" t="str">
        <f t="shared" ca="1" si="7"/>
        <v>Last 365 Days</v>
      </c>
      <c r="E144" s="13">
        <v>45923</v>
      </c>
      <c r="F144" s="23">
        <f t="shared" si="8"/>
        <v>45930</v>
      </c>
      <c r="G144" s="5">
        <v>69</v>
      </c>
      <c r="H144" s="5">
        <v>1165</v>
      </c>
      <c r="I144" s="6">
        <v>5.9737</v>
      </c>
      <c r="J144" s="5">
        <v>1</v>
      </c>
      <c r="K144" s="7">
        <v>0.52300000000000002</v>
      </c>
      <c r="L144" s="5">
        <v>3320</v>
      </c>
      <c r="M144" s="6">
        <v>6.63</v>
      </c>
    </row>
    <row r="145" spans="1:13" x14ac:dyDescent="0.35">
      <c r="A145" s="4" t="s">
        <v>543</v>
      </c>
      <c r="B145" s="4" t="s">
        <v>544</v>
      </c>
      <c r="C145" s="4" t="str">
        <f t="shared" si="6"/>
        <v xml:space="preserve">Call 7021988393 | Ajmera One 1BHK Ultra </v>
      </c>
      <c r="D145" s="4" t="str">
        <f t="shared" ca="1" si="7"/>
        <v>Last 365 Days</v>
      </c>
      <c r="E145" s="13">
        <v>45919</v>
      </c>
      <c r="F145" s="23">
        <f t="shared" si="8"/>
        <v>45930</v>
      </c>
      <c r="G145" s="5">
        <v>50</v>
      </c>
      <c r="H145" s="5">
        <v>924</v>
      </c>
      <c r="I145" s="6">
        <v>2.7764000000000002</v>
      </c>
      <c r="J145" s="5">
        <v>0</v>
      </c>
      <c r="K145" s="7">
        <v>0.38</v>
      </c>
      <c r="L145" s="5">
        <v>3447</v>
      </c>
      <c r="M145" s="6">
        <v>4.3499999999999996</v>
      </c>
    </row>
    <row r="146" spans="1:13" x14ac:dyDescent="0.35">
      <c r="A146" s="4" t="s">
        <v>811</v>
      </c>
      <c r="B146" s="4" t="s">
        <v>1000</v>
      </c>
      <c r="C146" s="4" t="str">
        <f t="shared" si="6"/>
        <v>Vaishnavi Pride Kalyan East | 1 BHK Fla</v>
      </c>
      <c r="D146" s="4" t="str">
        <f t="shared" ca="1" si="7"/>
        <v>Last 365 Days</v>
      </c>
      <c r="E146" s="13">
        <v>45919</v>
      </c>
      <c r="F146" s="23">
        <f t="shared" si="8"/>
        <v>45930</v>
      </c>
      <c r="G146" s="5">
        <v>84</v>
      </c>
      <c r="H146" s="5">
        <v>644</v>
      </c>
      <c r="I146" s="6">
        <v>3.6044</v>
      </c>
      <c r="J146" s="5">
        <v>1</v>
      </c>
      <c r="K146" s="7">
        <v>0.29499999999999998</v>
      </c>
      <c r="L146" s="5">
        <v>2806</v>
      </c>
      <c r="M146" s="6">
        <v>5.2</v>
      </c>
    </row>
    <row r="147" spans="1:13" x14ac:dyDescent="0.35">
      <c r="A147" s="4" t="s">
        <v>586</v>
      </c>
      <c r="B147" s="4" t="s">
        <v>587</v>
      </c>
      <c r="C147" s="4" t="str">
        <f t="shared" si="6"/>
        <v>Call 7021988393 | Most Affordable Manges</v>
      </c>
      <c r="D147" s="4" t="str">
        <f t="shared" ca="1" si="7"/>
        <v>Last 365 Days</v>
      </c>
      <c r="E147" s="13">
        <v>45918</v>
      </c>
      <c r="F147" s="23">
        <f t="shared" si="8"/>
        <v>45930</v>
      </c>
      <c r="G147" s="5">
        <v>53</v>
      </c>
      <c r="H147" s="5">
        <v>855</v>
      </c>
      <c r="I147" s="6">
        <v>2.7088000000000001</v>
      </c>
      <c r="J147" s="5">
        <v>0</v>
      </c>
      <c r="K147" s="7">
        <v>0.40300000000000002</v>
      </c>
      <c r="L147" s="5">
        <v>2608</v>
      </c>
      <c r="M147" s="6">
        <v>3.34</v>
      </c>
    </row>
    <row r="148" spans="1:13" x14ac:dyDescent="0.35">
      <c r="A148" s="4" t="s">
        <v>496</v>
      </c>
      <c r="B148" s="4" t="s">
        <v>497</v>
      </c>
      <c r="C148" s="4" t="str">
        <f t="shared" si="6"/>
        <v>Call 7021988393 | Tharwani Vedant Naksha</v>
      </c>
      <c r="D148" s="4" t="str">
        <f t="shared" ca="1" si="7"/>
        <v>Last 365 Days</v>
      </c>
      <c r="E148" s="13">
        <v>45917</v>
      </c>
      <c r="F148" s="23">
        <f t="shared" si="8"/>
        <v>45930</v>
      </c>
      <c r="G148" s="5">
        <v>53</v>
      </c>
      <c r="H148" s="5">
        <v>972</v>
      </c>
      <c r="I148" s="6">
        <v>3.2681</v>
      </c>
      <c r="J148" s="5">
        <v>0</v>
      </c>
      <c r="K148" s="7">
        <v>0.44700000000000001</v>
      </c>
      <c r="L148" s="5">
        <v>2497</v>
      </c>
      <c r="M148" s="6">
        <v>3.64</v>
      </c>
    </row>
    <row r="149" spans="1:13" x14ac:dyDescent="0.35">
      <c r="A149" s="4" t="s">
        <v>598</v>
      </c>
      <c r="B149" s="4" t="s">
        <v>599</v>
      </c>
      <c r="C149" s="4" t="str">
        <f t="shared" si="6"/>
        <v>Mehta Legend Thane | Luxury 1 BHK Flat F</v>
      </c>
      <c r="D149" s="4" t="str">
        <f t="shared" ca="1" si="7"/>
        <v>Last 365 Days</v>
      </c>
      <c r="E149" s="13">
        <v>45916</v>
      </c>
      <c r="F149" s="23">
        <f t="shared" si="8"/>
        <v>45930</v>
      </c>
      <c r="G149" s="5">
        <v>46</v>
      </c>
      <c r="H149" s="5">
        <v>845</v>
      </c>
      <c r="I149" s="6">
        <v>1.8593999999999999</v>
      </c>
      <c r="J149" s="5">
        <v>1</v>
      </c>
      <c r="K149" s="7">
        <v>0.3</v>
      </c>
      <c r="L149" s="5">
        <v>2205</v>
      </c>
      <c r="M149" s="6">
        <v>4.3099999999999996</v>
      </c>
    </row>
    <row r="150" spans="1:13" x14ac:dyDescent="0.35">
      <c r="A150" s="4" t="s">
        <v>770</v>
      </c>
      <c r="B150" s="4" t="s">
        <v>771</v>
      </c>
      <c r="C150" s="4" t="str">
        <f t="shared" si="6"/>
        <v>Ajmera One Kalyan | Luxury 1 &amp; 2 BHK Hom</v>
      </c>
      <c r="D150" s="4" t="str">
        <f t="shared" ca="1" si="7"/>
        <v>Last 365 Days</v>
      </c>
      <c r="E150" s="13">
        <v>45916</v>
      </c>
      <c r="F150" s="23">
        <f t="shared" si="8"/>
        <v>45930</v>
      </c>
      <c r="G150" s="5">
        <v>135</v>
      </c>
      <c r="H150" s="5">
        <v>693</v>
      </c>
      <c r="I150" s="6">
        <v>14.0512</v>
      </c>
      <c r="J150" s="5">
        <v>3</v>
      </c>
      <c r="K150" s="7">
        <v>54.192999999999998</v>
      </c>
      <c r="L150" s="5">
        <v>4688</v>
      </c>
      <c r="M150" s="6">
        <v>12.24</v>
      </c>
    </row>
    <row r="151" spans="1:13" x14ac:dyDescent="0.35">
      <c r="A151" s="4" t="s">
        <v>294</v>
      </c>
      <c r="B151" s="4" t="s">
        <v>295</v>
      </c>
      <c r="C151" s="4" t="str">
        <f t="shared" si="6"/>
        <v>Call 7021988393 | 2BHK Flat in 1BHK Pric</v>
      </c>
      <c r="D151" s="4" t="str">
        <f t="shared" ca="1" si="7"/>
        <v>Last 365 Days</v>
      </c>
      <c r="E151" s="13">
        <v>45914</v>
      </c>
      <c r="F151" s="23">
        <f t="shared" si="8"/>
        <v>45930</v>
      </c>
      <c r="G151" s="5">
        <v>99</v>
      </c>
      <c r="H151" s="5">
        <v>1310</v>
      </c>
      <c r="I151" s="6">
        <v>8.1487999999999996</v>
      </c>
      <c r="J151" s="5">
        <v>2</v>
      </c>
      <c r="K151" s="7">
        <v>0.60899999999999999</v>
      </c>
      <c r="L151" s="5">
        <v>3652</v>
      </c>
      <c r="M151" s="6">
        <v>3.81</v>
      </c>
    </row>
    <row r="152" spans="1:13" x14ac:dyDescent="0.35">
      <c r="A152" s="4" t="s">
        <v>509</v>
      </c>
      <c r="B152" s="4" t="s">
        <v>510</v>
      </c>
      <c r="C152" s="4" t="str">
        <f t="shared" si="6"/>
        <v>Kohinoor Highland Dombivli East | 1&amp;2 BH</v>
      </c>
      <c r="D152" s="4" t="str">
        <f t="shared" ca="1" si="7"/>
        <v>Last 365 Days</v>
      </c>
      <c r="E152" s="13">
        <v>45914</v>
      </c>
      <c r="F152" s="23">
        <f t="shared" si="8"/>
        <v>45930</v>
      </c>
      <c r="G152" s="5">
        <v>182</v>
      </c>
      <c r="H152" s="5">
        <v>964</v>
      </c>
      <c r="I152" s="6">
        <v>21.482500000000002</v>
      </c>
      <c r="J152" s="5">
        <v>1</v>
      </c>
      <c r="K152" s="7">
        <v>55.98</v>
      </c>
      <c r="L152" s="5">
        <v>6983</v>
      </c>
      <c r="M152" s="6">
        <v>10.47</v>
      </c>
    </row>
    <row r="153" spans="1:13" x14ac:dyDescent="0.35">
      <c r="A153" s="4" t="s">
        <v>84</v>
      </c>
      <c r="B153" s="4" t="s">
        <v>886</v>
      </c>
      <c r="C153" s="4" t="str">
        <f t="shared" si="6"/>
        <v>Tulsi City Flats | 1 &amp; 2 BHK Flats for S</v>
      </c>
      <c r="D153" s="4" t="str">
        <f t="shared" ca="1" si="7"/>
        <v>Last 365 Days</v>
      </c>
      <c r="E153" s="13">
        <v>45911</v>
      </c>
      <c r="F153" s="23">
        <f t="shared" si="8"/>
        <v>45930</v>
      </c>
      <c r="G153" s="5">
        <v>35</v>
      </c>
      <c r="H153" s="5">
        <v>2610</v>
      </c>
      <c r="I153" s="6">
        <v>8.5457999999999998</v>
      </c>
      <c r="J153" s="5">
        <v>2</v>
      </c>
      <c r="K153" s="7">
        <v>1.206</v>
      </c>
      <c r="L153" s="5">
        <v>13357</v>
      </c>
      <c r="M153" s="6">
        <v>3.89</v>
      </c>
    </row>
    <row r="154" spans="1:13" x14ac:dyDescent="0.35">
      <c r="A154" s="4" t="s">
        <v>739</v>
      </c>
      <c r="B154" s="4" t="s">
        <v>740</v>
      </c>
      <c r="C154" s="4" t="str">
        <f t="shared" si="6"/>
        <v>Kohinoor Highland Dombivli East | Sample</v>
      </c>
      <c r="D154" s="4" t="str">
        <f t="shared" ca="1" si="7"/>
        <v>Last 365 Days</v>
      </c>
      <c r="E154" s="13">
        <v>45911</v>
      </c>
      <c r="F154" s="23">
        <f t="shared" si="8"/>
        <v>45930</v>
      </c>
      <c r="G154" s="5">
        <v>242</v>
      </c>
      <c r="H154" s="5">
        <v>734</v>
      </c>
      <c r="I154" s="6">
        <v>18.848500000000001</v>
      </c>
      <c r="J154" s="5">
        <v>0</v>
      </c>
      <c r="K154" s="7">
        <v>49.808</v>
      </c>
      <c r="L154" s="5">
        <v>5469</v>
      </c>
      <c r="M154" s="6">
        <v>8.41</v>
      </c>
    </row>
    <row r="155" spans="1:13" x14ac:dyDescent="0.35">
      <c r="A155" s="4" t="s">
        <v>744</v>
      </c>
      <c r="B155" s="4" t="s">
        <v>745</v>
      </c>
      <c r="C155" s="4" t="str">
        <f t="shared" si="6"/>
        <v>Call 7021988393 | Vikas Ritz Kalyan West</v>
      </c>
      <c r="D155" s="4" t="str">
        <f t="shared" ca="1" si="7"/>
        <v>Last 365 Days</v>
      </c>
      <c r="E155" s="13">
        <v>45910</v>
      </c>
      <c r="F155" s="23">
        <f t="shared" si="8"/>
        <v>45930</v>
      </c>
      <c r="G155" s="5">
        <v>53</v>
      </c>
      <c r="H155" s="5">
        <v>727</v>
      </c>
      <c r="I155" s="6">
        <v>2.5468999999999999</v>
      </c>
      <c r="J155" s="5">
        <v>1</v>
      </c>
      <c r="K155" s="7">
        <v>0.34200000000000003</v>
      </c>
      <c r="L155" s="5">
        <v>3108</v>
      </c>
      <c r="M155" s="6">
        <v>3.73</v>
      </c>
    </row>
    <row r="156" spans="1:13" x14ac:dyDescent="0.35">
      <c r="A156" s="4" t="s">
        <v>826</v>
      </c>
      <c r="B156" s="4" t="s">
        <v>904</v>
      </c>
      <c r="C156" s="4" t="str">
        <f t="shared" si="6"/>
        <v>The Green Sapphirre | Premium 1BHK &amp; 2BH</v>
      </c>
      <c r="D156" s="4" t="str">
        <f t="shared" ca="1" si="7"/>
        <v>Last 365 Days</v>
      </c>
      <c r="E156" s="13">
        <v>45910</v>
      </c>
      <c r="F156" s="23">
        <f t="shared" si="8"/>
        <v>45930</v>
      </c>
      <c r="G156" s="5">
        <v>104</v>
      </c>
      <c r="H156" s="5">
        <v>634</v>
      </c>
      <c r="I156" s="6">
        <v>4.5865999999999998</v>
      </c>
      <c r="J156" s="5">
        <v>0</v>
      </c>
      <c r="K156" s="7">
        <v>0.34100000000000003</v>
      </c>
      <c r="L156" s="5">
        <v>2997</v>
      </c>
      <c r="M156" s="6">
        <v>5.34</v>
      </c>
    </row>
    <row r="157" spans="1:13" x14ac:dyDescent="0.35">
      <c r="A157" s="4" t="s">
        <v>209</v>
      </c>
      <c r="B157" s="4" t="s">
        <v>210</v>
      </c>
      <c r="C157" s="4" t="str">
        <f t="shared" si="6"/>
        <v>Call 7021988393 | Panchratna Sapphire Ka</v>
      </c>
      <c r="D157" s="4" t="str">
        <f t="shared" ca="1" si="7"/>
        <v>Last 365 Days</v>
      </c>
      <c r="E157" s="13">
        <v>45909</v>
      </c>
      <c r="F157" s="23">
        <f t="shared" si="8"/>
        <v>45930</v>
      </c>
      <c r="G157" s="5">
        <v>88</v>
      </c>
      <c r="H157" s="5">
        <v>1586</v>
      </c>
      <c r="I157" s="6">
        <v>7.0911999999999997</v>
      </c>
      <c r="J157" s="5">
        <v>1</v>
      </c>
      <c r="K157" s="7">
        <v>1.2669999999999999</v>
      </c>
      <c r="L157" s="5">
        <v>2887</v>
      </c>
      <c r="M157" s="6">
        <v>3.6</v>
      </c>
    </row>
    <row r="158" spans="1:13" x14ac:dyDescent="0.35">
      <c r="A158" s="4" t="s">
        <v>418</v>
      </c>
      <c r="B158" s="4" t="s">
        <v>419</v>
      </c>
      <c r="C158" s="4" t="str">
        <f t="shared" si="6"/>
        <v>Call 7021988393 | Big Carpet Area Flat i</v>
      </c>
      <c r="D158" s="4" t="str">
        <f t="shared" ca="1" si="7"/>
        <v>Last 365 Days</v>
      </c>
      <c r="E158" s="13">
        <v>45905</v>
      </c>
      <c r="F158" s="23">
        <f t="shared" si="8"/>
        <v>45930</v>
      </c>
      <c r="G158" s="5">
        <v>37</v>
      </c>
      <c r="H158" s="5">
        <v>1086</v>
      </c>
      <c r="I158" s="6">
        <v>3.5308999999999999</v>
      </c>
      <c r="J158" s="5">
        <v>2</v>
      </c>
      <c r="K158" s="7">
        <v>0.48299999999999998</v>
      </c>
      <c r="L158" s="5">
        <v>3477</v>
      </c>
      <c r="M158" s="6">
        <v>5.61</v>
      </c>
    </row>
    <row r="159" spans="1:13" x14ac:dyDescent="0.35">
      <c r="A159" s="4" t="s">
        <v>863</v>
      </c>
      <c r="B159" s="4" t="s">
        <v>864</v>
      </c>
      <c r="C159" s="4" t="str">
        <f t="shared" si="6"/>
        <v>Samruddhi Heights Kalyan West | 1 &amp; 2 BH</v>
      </c>
      <c r="D159" s="4" t="str">
        <f t="shared" ca="1" si="7"/>
        <v>Last 365 Days</v>
      </c>
      <c r="E159" s="13">
        <v>45905</v>
      </c>
      <c r="F159" s="23">
        <f t="shared" si="8"/>
        <v>45930</v>
      </c>
      <c r="G159" s="5">
        <v>285</v>
      </c>
      <c r="H159" s="5">
        <v>607</v>
      </c>
      <c r="I159" s="6">
        <v>13.0312</v>
      </c>
      <c r="J159" s="5">
        <v>1</v>
      </c>
      <c r="K159" s="7">
        <v>69.149000000000001</v>
      </c>
      <c r="L159" s="5">
        <v>6358</v>
      </c>
      <c r="M159" s="6">
        <v>7.86</v>
      </c>
    </row>
    <row r="160" spans="1:13" x14ac:dyDescent="0.35">
      <c r="A160" s="4" t="s">
        <v>867</v>
      </c>
      <c r="B160" s="4" t="s">
        <v>868</v>
      </c>
      <c r="C160" s="4" t="str">
        <f t="shared" si="6"/>
        <v xml:space="preserve">Call 7021988393 | Affordable Big Carpet </v>
      </c>
      <c r="D160" s="4" t="str">
        <f t="shared" ca="1" si="7"/>
        <v>Last 365 Days</v>
      </c>
      <c r="E160" s="13">
        <v>45903</v>
      </c>
      <c r="F160" s="23">
        <f t="shared" si="8"/>
        <v>45930</v>
      </c>
      <c r="G160" s="5">
        <v>86</v>
      </c>
      <c r="H160" s="5">
        <v>605</v>
      </c>
      <c r="I160" s="6">
        <v>2.6086</v>
      </c>
      <c r="J160" s="5">
        <v>1</v>
      </c>
      <c r="K160" s="7">
        <v>0.34</v>
      </c>
      <c r="L160" s="5">
        <v>2147</v>
      </c>
      <c r="M160" s="6">
        <v>3.21</v>
      </c>
    </row>
    <row r="161" spans="1:13" x14ac:dyDescent="0.35">
      <c r="A161" s="4" t="s">
        <v>344</v>
      </c>
      <c r="B161" s="4" t="s">
        <v>345</v>
      </c>
      <c r="C161" s="4" t="str">
        <f t="shared" si="6"/>
        <v>Anandi Imperial Dombivli East | 1 &amp; 2 BH</v>
      </c>
      <c r="D161" s="4" t="str">
        <f t="shared" ca="1" si="7"/>
        <v>Last 365 Days</v>
      </c>
      <c r="E161" s="13">
        <v>45902</v>
      </c>
      <c r="F161" s="23">
        <f t="shared" si="8"/>
        <v>45930</v>
      </c>
      <c r="G161" s="5">
        <v>278</v>
      </c>
      <c r="H161" s="5">
        <v>1216</v>
      </c>
      <c r="I161" s="6">
        <v>36.6404</v>
      </c>
      <c r="J161" s="5">
        <v>2</v>
      </c>
      <c r="K161" s="7">
        <v>38.494</v>
      </c>
      <c r="L161" s="5">
        <v>3283</v>
      </c>
      <c r="M161" s="6">
        <v>8.32</v>
      </c>
    </row>
    <row r="162" spans="1:13" x14ac:dyDescent="0.35">
      <c r="A162" s="4" t="s">
        <v>312</v>
      </c>
      <c r="B162" s="4" t="s">
        <v>313</v>
      </c>
      <c r="C162" s="4" t="str">
        <f t="shared" si="6"/>
        <v>Call 7021988393 | 1BHK Flat in Kalyan We</v>
      </c>
      <c r="D162" s="4" t="str">
        <f t="shared" ca="1" si="7"/>
        <v>Last 365 Days</v>
      </c>
      <c r="E162" s="13">
        <v>45899</v>
      </c>
      <c r="F162" s="23">
        <f t="shared" si="8"/>
        <v>45900</v>
      </c>
      <c r="G162" s="5">
        <v>32</v>
      </c>
      <c r="H162" s="5">
        <v>1277</v>
      </c>
      <c r="I162" s="6">
        <v>2.1819000000000002</v>
      </c>
      <c r="J162" s="5">
        <v>0</v>
      </c>
      <c r="K162" s="7">
        <v>0.64900000000000002</v>
      </c>
      <c r="L162" s="5">
        <v>2003</v>
      </c>
      <c r="M162" s="6">
        <v>3.94</v>
      </c>
    </row>
    <row r="163" spans="1:13" x14ac:dyDescent="0.35">
      <c r="A163" s="4" t="s">
        <v>428</v>
      </c>
      <c r="B163" s="4" t="s">
        <v>429</v>
      </c>
      <c r="C163" s="4" t="str">
        <f t="shared" si="6"/>
        <v xml:space="preserve">Call 7021988393 | Anand Imperial Kalyan </v>
      </c>
      <c r="D163" s="4" t="str">
        <f t="shared" ca="1" si="7"/>
        <v>Last 365 Days</v>
      </c>
      <c r="E163" s="13">
        <v>45898</v>
      </c>
      <c r="F163" s="23">
        <f t="shared" si="8"/>
        <v>45900</v>
      </c>
      <c r="G163" s="5">
        <v>80</v>
      </c>
      <c r="H163" s="5">
        <v>1063</v>
      </c>
      <c r="I163" s="6">
        <v>3.7683</v>
      </c>
      <c r="J163" s="5">
        <v>1</v>
      </c>
      <c r="K163" s="7">
        <v>0.53100000000000003</v>
      </c>
      <c r="L163" s="5">
        <v>2035</v>
      </c>
      <c r="M163" s="6">
        <v>3.73</v>
      </c>
    </row>
    <row r="164" spans="1:13" x14ac:dyDescent="0.35">
      <c r="A164" s="4" t="s">
        <v>532</v>
      </c>
      <c r="B164" s="4" t="s">
        <v>533</v>
      </c>
      <c r="C164" s="4" t="str">
        <f t="shared" si="6"/>
        <v xml:space="preserve">Call 7021988393 | Luxurious Living with </v>
      </c>
      <c r="D164" s="4" t="str">
        <f t="shared" ca="1" si="7"/>
        <v>Last 365 Days</v>
      </c>
      <c r="E164" s="13">
        <v>45898</v>
      </c>
      <c r="F164" s="23">
        <f t="shared" si="8"/>
        <v>45900</v>
      </c>
      <c r="G164" s="5">
        <v>69</v>
      </c>
      <c r="H164" s="5">
        <v>933</v>
      </c>
      <c r="I164" s="6">
        <v>3.8839999999999999</v>
      </c>
      <c r="J164" s="5">
        <v>1</v>
      </c>
      <c r="K164" s="7">
        <v>0.38200000000000001</v>
      </c>
      <c r="L164" s="5">
        <v>2043</v>
      </c>
      <c r="M164" s="6">
        <v>6.31</v>
      </c>
    </row>
    <row r="165" spans="1:13" x14ac:dyDescent="0.35">
      <c r="A165" s="4" t="s">
        <v>479</v>
      </c>
      <c r="B165" s="4" t="s">
        <v>921</v>
      </c>
      <c r="C165" s="4" t="str">
        <f t="shared" si="6"/>
        <v>Call 7021988393 | Siyara Fortune Bhiwand</v>
      </c>
      <c r="D165" s="4" t="str">
        <f t="shared" ca="1" si="7"/>
        <v>Last 365 Days</v>
      </c>
      <c r="E165" s="13">
        <v>45897</v>
      </c>
      <c r="F165" s="23">
        <f t="shared" si="8"/>
        <v>45900</v>
      </c>
      <c r="G165" s="5">
        <v>42</v>
      </c>
      <c r="H165" s="5">
        <v>990</v>
      </c>
      <c r="I165" s="6">
        <v>1.9196</v>
      </c>
      <c r="J165" s="5">
        <v>1</v>
      </c>
      <c r="K165" s="7">
        <v>0.33800000000000002</v>
      </c>
      <c r="L165" s="5">
        <v>1743</v>
      </c>
      <c r="M165" s="6">
        <v>2.52</v>
      </c>
    </row>
    <row r="166" spans="1:13" x14ac:dyDescent="0.35">
      <c r="A166" s="4" t="s">
        <v>465</v>
      </c>
      <c r="B166" s="4" t="s">
        <v>466</v>
      </c>
      <c r="C166" s="4" t="str">
        <f t="shared" si="6"/>
        <v>Call 7021988393 | Sagar Homes Kalyan | 1</v>
      </c>
      <c r="D166" s="4" t="str">
        <f t="shared" ca="1" si="7"/>
        <v>Last 365 Days</v>
      </c>
      <c r="E166" s="13">
        <v>45896</v>
      </c>
      <c r="F166" s="23">
        <f t="shared" si="8"/>
        <v>45900</v>
      </c>
      <c r="G166" s="5">
        <v>89</v>
      </c>
      <c r="H166" s="5">
        <v>1008</v>
      </c>
      <c r="I166" s="6">
        <v>5.0225</v>
      </c>
      <c r="J166" s="5">
        <v>1</v>
      </c>
      <c r="K166" s="7">
        <v>0.47599999999999998</v>
      </c>
      <c r="L166" s="5">
        <v>2879</v>
      </c>
      <c r="M166" s="6">
        <v>4.62</v>
      </c>
    </row>
    <row r="167" spans="1:13" x14ac:dyDescent="0.35">
      <c r="A167" s="4" t="s">
        <v>30</v>
      </c>
      <c r="B167" s="4" t="s">
        <v>31</v>
      </c>
      <c r="C167" s="4" t="str">
        <f t="shared" si="6"/>
        <v>Sagar Homes Kalyan | 1 &amp; 2BHK Flats with</v>
      </c>
      <c r="D167" s="4" t="str">
        <f t="shared" ca="1" si="7"/>
        <v>Last 365 Days</v>
      </c>
      <c r="E167" s="13">
        <v>45895</v>
      </c>
      <c r="F167" s="23">
        <f t="shared" si="8"/>
        <v>45900</v>
      </c>
      <c r="G167" s="5">
        <v>276</v>
      </c>
      <c r="H167" s="5">
        <v>8568</v>
      </c>
      <c r="I167" s="6">
        <v>223.1961</v>
      </c>
      <c r="J167" s="5">
        <v>3</v>
      </c>
      <c r="K167" s="7">
        <v>26.606999999999999</v>
      </c>
      <c r="L167" s="5">
        <v>4446</v>
      </c>
      <c r="M167" s="6">
        <v>6.05</v>
      </c>
    </row>
    <row r="168" spans="1:13" x14ac:dyDescent="0.35">
      <c r="A168" s="4" t="s">
        <v>368</v>
      </c>
      <c r="B168" s="4" t="s">
        <v>241</v>
      </c>
      <c r="C168" s="4" t="str">
        <f t="shared" si="6"/>
        <v>Call 7021988393 | 1BHK Premium Flat in K</v>
      </c>
      <c r="D168" s="4" t="str">
        <f t="shared" ca="1" si="7"/>
        <v>Last 365 Days</v>
      </c>
      <c r="E168" s="13">
        <v>45895</v>
      </c>
      <c r="F168" s="23">
        <f t="shared" si="8"/>
        <v>45900</v>
      </c>
      <c r="G168" s="5">
        <v>39</v>
      </c>
      <c r="H168" s="5">
        <v>1172</v>
      </c>
      <c r="I168" s="6">
        <v>2.0003000000000002</v>
      </c>
      <c r="J168" s="5">
        <v>0</v>
      </c>
      <c r="K168" s="7">
        <v>0.378</v>
      </c>
      <c r="L168" s="5">
        <v>1727</v>
      </c>
      <c r="M168" s="6">
        <v>3.76</v>
      </c>
    </row>
    <row r="169" spans="1:13" x14ac:dyDescent="0.35">
      <c r="A169" s="4" t="s">
        <v>291</v>
      </c>
      <c r="B169" s="4" t="s">
        <v>292</v>
      </c>
      <c r="C169" s="4" t="str">
        <f t="shared" si="6"/>
        <v>Call 7021988393 | Kohinoor Highland Domb</v>
      </c>
      <c r="D169" s="4" t="str">
        <f t="shared" ca="1" si="7"/>
        <v>Last 365 Days</v>
      </c>
      <c r="E169" s="13">
        <v>45892</v>
      </c>
      <c r="F169" s="23">
        <f t="shared" si="8"/>
        <v>45900</v>
      </c>
      <c r="G169" s="5">
        <v>73</v>
      </c>
      <c r="H169" s="5">
        <v>1316</v>
      </c>
      <c r="I169" s="6">
        <v>6.9802999999999997</v>
      </c>
      <c r="J169" s="5">
        <v>0</v>
      </c>
      <c r="K169" s="7">
        <v>0.68899999999999995</v>
      </c>
      <c r="L169" s="5">
        <v>5386</v>
      </c>
      <c r="M169" s="6">
        <v>5.4</v>
      </c>
    </row>
    <row r="170" spans="1:13" x14ac:dyDescent="0.35">
      <c r="A170" s="4" t="s">
        <v>562</v>
      </c>
      <c r="B170" s="4" t="s">
        <v>563</v>
      </c>
      <c r="C170" s="4" t="str">
        <f t="shared" si="6"/>
        <v>Call 7021988393 | Luxurious Spacious Hom</v>
      </c>
      <c r="D170" s="4" t="str">
        <f t="shared" ca="1" si="7"/>
        <v>Last 365 Days</v>
      </c>
      <c r="E170" s="13">
        <v>45891</v>
      </c>
      <c r="F170" s="23">
        <f t="shared" si="8"/>
        <v>45900</v>
      </c>
      <c r="G170" s="5">
        <v>44</v>
      </c>
      <c r="H170" s="5">
        <v>896</v>
      </c>
      <c r="I170" s="6">
        <v>2.6031</v>
      </c>
      <c r="J170" s="5">
        <v>2</v>
      </c>
      <c r="K170" s="7">
        <v>0.49</v>
      </c>
      <c r="L170" s="5">
        <v>2661</v>
      </c>
      <c r="M170" s="6">
        <v>3.19</v>
      </c>
    </row>
    <row r="171" spans="1:13" x14ac:dyDescent="0.35">
      <c r="A171" s="4" t="s">
        <v>854</v>
      </c>
      <c r="B171" s="4" t="s">
        <v>855</v>
      </c>
      <c r="C171" s="4" t="str">
        <f t="shared" si="6"/>
        <v>Call 7021988393 | Commercial Office Spac</v>
      </c>
      <c r="D171" s="4" t="str">
        <f t="shared" ca="1" si="7"/>
        <v>Last 365 Days</v>
      </c>
      <c r="E171" s="13">
        <v>45891</v>
      </c>
      <c r="F171" s="23">
        <f t="shared" si="8"/>
        <v>45900</v>
      </c>
      <c r="G171" s="5">
        <v>30</v>
      </c>
      <c r="H171" s="5">
        <v>615</v>
      </c>
      <c r="I171" s="6">
        <v>0.96689999999999998</v>
      </c>
      <c r="J171" s="5">
        <v>0</v>
      </c>
      <c r="K171" s="7">
        <v>0.188</v>
      </c>
      <c r="L171" s="5">
        <v>1894</v>
      </c>
      <c r="M171" s="6">
        <v>4.01</v>
      </c>
    </row>
    <row r="172" spans="1:13" x14ac:dyDescent="0.35">
      <c r="A172" s="4" t="s">
        <v>716</v>
      </c>
      <c r="B172" s="4" t="s">
        <v>1003</v>
      </c>
      <c r="C172" s="4" t="str">
        <f t="shared" si="6"/>
        <v>Call 7021988393 | See The Project You Fa</v>
      </c>
      <c r="D172" s="4" t="str">
        <f t="shared" ca="1" si="7"/>
        <v>Last 365 Days</v>
      </c>
      <c r="E172" s="13">
        <v>45890</v>
      </c>
      <c r="F172" s="23">
        <f t="shared" si="8"/>
        <v>45900</v>
      </c>
      <c r="G172" s="5">
        <v>64</v>
      </c>
      <c r="H172" s="5">
        <v>751</v>
      </c>
      <c r="I172" s="6">
        <v>2.004</v>
      </c>
      <c r="J172" s="5">
        <v>1</v>
      </c>
      <c r="K172" s="7">
        <v>0.24099999999999999</v>
      </c>
      <c r="L172" s="5">
        <v>2290</v>
      </c>
      <c r="M172" s="6">
        <v>4.63</v>
      </c>
    </row>
    <row r="173" spans="1:13" x14ac:dyDescent="0.35">
      <c r="A173" s="4" t="s">
        <v>798</v>
      </c>
      <c r="B173" s="4" t="s">
        <v>981</v>
      </c>
      <c r="C173" s="4" t="str">
        <f t="shared" si="6"/>
        <v>Call 7021988393 | Look  What a Luxury F</v>
      </c>
      <c r="D173" s="4" t="str">
        <f t="shared" ca="1" si="7"/>
        <v>Last 365 Days</v>
      </c>
      <c r="E173" s="13">
        <v>45889</v>
      </c>
      <c r="F173" s="23">
        <f t="shared" si="8"/>
        <v>45900</v>
      </c>
      <c r="G173" s="5">
        <v>88</v>
      </c>
      <c r="H173" s="5">
        <v>664</v>
      </c>
      <c r="I173" s="6">
        <v>3.2441</v>
      </c>
      <c r="J173" s="5">
        <v>1</v>
      </c>
      <c r="K173" s="7">
        <v>0.47099999999999997</v>
      </c>
      <c r="L173" s="5">
        <v>3158</v>
      </c>
      <c r="M173" s="6">
        <v>3.36</v>
      </c>
    </row>
    <row r="174" spans="1:13" x14ac:dyDescent="0.35">
      <c r="A174" s="4" t="s">
        <v>629</v>
      </c>
      <c r="B174" s="4" t="s">
        <v>630</v>
      </c>
      <c r="C174" s="4" t="str">
        <f t="shared" si="6"/>
        <v xml:space="preserve">Call 7021988393 | 2BHK Spacious Flat in </v>
      </c>
      <c r="D174" s="4" t="str">
        <f t="shared" ca="1" si="7"/>
        <v>Last 365 Days</v>
      </c>
      <c r="E174" s="13">
        <v>45888</v>
      </c>
      <c r="F174" s="23">
        <f t="shared" si="8"/>
        <v>45900</v>
      </c>
      <c r="G174" s="5">
        <v>51</v>
      </c>
      <c r="H174" s="5">
        <v>827</v>
      </c>
      <c r="I174" s="6">
        <v>2.1623999999999999</v>
      </c>
      <c r="J174" s="5">
        <v>0</v>
      </c>
      <c r="K174" s="7">
        <v>0.34399999999999997</v>
      </c>
      <c r="L174" s="5">
        <v>2179</v>
      </c>
      <c r="M174" s="6">
        <v>4.2699999999999996</v>
      </c>
    </row>
    <row r="175" spans="1:13" x14ac:dyDescent="0.35">
      <c r="A175" s="4" t="s">
        <v>632</v>
      </c>
      <c r="B175" s="4" t="s">
        <v>633</v>
      </c>
      <c r="C175" s="4" t="str">
        <f t="shared" si="6"/>
        <v>Call 7021988393 | Kidhar Aana Hai! DMart</v>
      </c>
      <c r="D175" s="4" t="str">
        <f t="shared" ca="1" si="7"/>
        <v>Last 365 Days</v>
      </c>
      <c r="E175" s="13">
        <v>45888</v>
      </c>
      <c r="F175" s="23">
        <f t="shared" si="8"/>
        <v>45900</v>
      </c>
      <c r="G175" s="5">
        <v>32</v>
      </c>
      <c r="H175" s="5">
        <v>827</v>
      </c>
      <c r="I175" s="6">
        <v>1.8442000000000001</v>
      </c>
      <c r="J175" s="5">
        <v>0</v>
      </c>
      <c r="K175" s="7">
        <v>0.32600000000000001</v>
      </c>
      <c r="L175" s="5">
        <v>2084</v>
      </c>
      <c r="M175" s="6">
        <v>4.75</v>
      </c>
    </row>
    <row r="176" spans="1:13" x14ac:dyDescent="0.35">
      <c r="A176" s="4" t="s">
        <v>807</v>
      </c>
      <c r="B176" s="4" t="s">
        <v>808</v>
      </c>
      <c r="C176" s="4" t="str">
        <f t="shared" si="6"/>
        <v xml:space="preserve">Triveni Pearl Kalyan | 2BHK Luxury Flat </v>
      </c>
      <c r="D176" s="4" t="str">
        <f t="shared" ca="1" si="7"/>
        <v>Last 365 Days</v>
      </c>
      <c r="E176" s="13">
        <v>45888</v>
      </c>
      <c r="F176" s="23">
        <f t="shared" si="8"/>
        <v>45900</v>
      </c>
      <c r="G176" s="5">
        <v>207</v>
      </c>
      <c r="H176" s="5">
        <v>654</v>
      </c>
      <c r="I176" s="6">
        <v>18.326499999999999</v>
      </c>
      <c r="J176" s="5">
        <v>0</v>
      </c>
      <c r="K176" s="7">
        <v>39.591999999999999</v>
      </c>
      <c r="L176" s="5">
        <v>4775</v>
      </c>
      <c r="M176" s="6">
        <v>8.82</v>
      </c>
    </row>
    <row r="177" spans="1:13" x14ac:dyDescent="0.35">
      <c r="A177" s="4" t="s">
        <v>375</v>
      </c>
      <c r="B177" s="4" t="s">
        <v>376</v>
      </c>
      <c r="C177" s="4" t="str">
        <f t="shared" si="6"/>
        <v xml:space="preserve">Call 7021988393 | Kalyan Me Sabse Sasta </v>
      </c>
      <c r="D177" s="4" t="str">
        <f t="shared" ca="1" si="7"/>
        <v>Last 365 Days</v>
      </c>
      <c r="E177" s="13">
        <v>45885</v>
      </c>
      <c r="F177" s="23">
        <f t="shared" si="8"/>
        <v>45900</v>
      </c>
      <c r="G177" s="5">
        <v>42</v>
      </c>
      <c r="H177" s="5">
        <v>1166</v>
      </c>
      <c r="I177" s="6">
        <v>4.3514999999999997</v>
      </c>
      <c r="J177" s="5">
        <v>1</v>
      </c>
      <c r="K177" s="7">
        <v>0.59299999999999997</v>
      </c>
      <c r="L177" s="5">
        <v>3153</v>
      </c>
      <c r="M177" s="6">
        <v>4.54</v>
      </c>
    </row>
    <row r="178" spans="1:13" x14ac:dyDescent="0.35">
      <c r="A178" s="4" t="s">
        <v>728</v>
      </c>
      <c r="B178" s="4" t="s">
        <v>729</v>
      </c>
      <c r="C178" s="4" t="str">
        <f t="shared" si="6"/>
        <v>Call 7021988393 | Spacious 1BHK Affordab</v>
      </c>
      <c r="D178" s="4" t="str">
        <f t="shared" ca="1" si="7"/>
        <v>Last 365 Days</v>
      </c>
      <c r="E178" s="13">
        <v>45884</v>
      </c>
      <c r="F178" s="23">
        <f t="shared" si="8"/>
        <v>45900</v>
      </c>
      <c r="G178" s="5">
        <v>58</v>
      </c>
      <c r="H178" s="5">
        <v>744</v>
      </c>
      <c r="I178" s="6">
        <v>2.6692999999999998</v>
      </c>
      <c r="J178" s="5">
        <v>1</v>
      </c>
      <c r="K178" s="7">
        <v>0.309</v>
      </c>
      <c r="L178" s="5">
        <v>2961</v>
      </c>
      <c r="M178" s="6">
        <v>3.61</v>
      </c>
    </row>
    <row r="179" spans="1:13" x14ac:dyDescent="0.35">
      <c r="A179" s="4" t="s">
        <v>666</v>
      </c>
      <c r="B179" s="4" t="s">
        <v>390</v>
      </c>
      <c r="C179" s="4" t="str">
        <f t="shared" si="6"/>
        <v xml:space="preserve">Call 7021988393 | 1BHK Luxury Flat Tour </v>
      </c>
      <c r="D179" s="4" t="str">
        <f t="shared" ca="1" si="7"/>
        <v>Last 365 Days</v>
      </c>
      <c r="E179" s="13">
        <v>45883</v>
      </c>
      <c r="F179" s="23">
        <f t="shared" si="8"/>
        <v>45900</v>
      </c>
      <c r="G179" s="5">
        <v>54</v>
      </c>
      <c r="H179" s="5">
        <v>798</v>
      </c>
      <c r="I179" s="6">
        <v>2.7622</v>
      </c>
      <c r="J179" s="5">
        <v>0</v>
      </c>
      <c r="K179" s="7">
        <v>0.39400000000000002</v>
      </c>
      <c r="L179" s="5">
        <v>2897</v>
      </c>
      <c r="M179" s="6">
        <v>4.38</v>
      </c>
    </row>
    <row r="180" spans="1:13" x14ac:dyDescent="0.35">
      <c r="A180" s="4" t="s">
        <v>352</v>
      </c>
      <c r="B180" s="4" t="s">
        <v>353</v>
      </c>
      <c r="C180" s="4" t="str">
        <f t="shared" si="6"/>
        <v xml:space="preserve">Call 7021988393 | Kalyan Aashiyana 1BHK </v>
      </c>
      <c r="D180" s="4" t="str">
        <f t="shared" ca="1" si="7"/>
        <v>Last 365 Days</v>
      </c>
      <c r="E180" s="13">
        <v>45882</v>
      </c>
      <c r="F180" s="23">
        <f t="shared" si="8"/>
        <v>45900</v>
      </c>
      <c r="G180" s="5">
        <v>34</v>
      </c>
      <c r="H180" s="5">
        <v>1208</v>
      </c>
      <c r="I180" s="6">
        <v>3.9756</v>
      </c>
      <c r="J180" s="5">
        <v>0</v>
      </c>
      <c r="K180" s="7">
        <v>0.53500000000000003</v>
      </c>
      <c r="L180" s="5">
        <v>3443</v>
      </c>
      <c r="M180" s="6">
        <v>7.17</v>
      </c>
    </row>
    <row r="181" spans="1:13" x14ac:dyDescent="0.35">
      <c r="A181" s="4" t="s">
        <v>704</v>
      </c>
      <c r="B181" s="4" t="s">
        <v>705</v>
      </c>
      <c r="C181" s="4" t="str">
        <f t="shared" si="6"/>
        <v xml:space="preserve">Call 7021988393 | Dombivli's Shivalay | </v>
      </c>
      <c r="D181" s="4" t="str">
        <f t="shared" ca="1" si="7"/>
        <v>Last 365 Days</v>
      </c>
      <c r="E181" s="13">
        <v>45878</v>
      </c>
      <c r="F181" s="23">
        <f t="shared" si="8"/>
        <v>45900</v>
      </c>
      <c r="G181" s="5">
        <v>49</v>
      </c>
      <c r="H181" s="5">
        <v>768</v>
      </c>
      <c r="I181" s="6">
        <v>2.3111999999999999</v>
      </c>
      <c r="J181" s="5">
        <v>0</v>
      </c>
      <c r="K181" s="7">
        <v>0.25600000000000001</v>
      </c>
      <c r="L181" s="5">
        <v>2130</v>
      </c>
      <c r="M181" s="6">
        <v>5.16</v>
      </c>
    </row>
    <row r="182" spans="1:13" x14ac:dyDescent="0.35">
      <c r="A182" s="4" t="s">
        <v>140</v>
      </c>
      <c r="B182" s="4" t="s">
        <v>141</v>
      </c>
      <c r="C182" s="4" t="str">
        <f t="shared" si="6"/>
        <v>Call 7021988393 | Inside Stunning 2BHK L</v>
      </c>
      <c r="D182" s="4" t="str">
        <f t="shared" ca="1" si="7"/>
        <v>Last 365 Days</v>
      </c>
      <c r="E182" s="13">
        <v>45877</v>
      </c>
      <c r="F182" s="23">
        <f t="shared" si="8"/>
        <v>45900</v>
      </c>
      <c r="G182" s="5">
        <v>52</v>
      </c>
      <c r="H182" s="5">
        <v>1937</v>
      </c>
      <c r="I182" s="6">
        <v>6.4625000000000004</v>
      </c>
      <c r="J182" s="5">
        <v>3</v>
      </c>
      <c r="K182" s="7">
        <v>0.88100000000000001</v>
      </c>
      <c r="L182" s="5">
        <v>4225</v>
      </c>
      <c r="M182" s="6">
        <v>8.2799999999999994</v>
      </c>
    </row>
    <row r="183" spans="1:13" x14ac:dyDescent="0.35">
      <c r="A183" s="4" t="s">
        <v>389</v>
      </c>
      <c r="B183" s="4" t="s">
        <v>390</v>
      </c>
      <c r="C183" s="4" t="str">
        <f t="shared" si="6"/>
        <v xml:space="preserve">Call 7021988393 | 1BHK Luxury Flat Tour </v>
      </c>
      <c r="D183" s="4" t="str">
        <f t="shared" ca="1" si="7"/>
        <v>Last 365 Days</v>
      </c>
      <c r="E183" s="13">
        <v>45877</v>
      </c>
      <c r="F183" s="23">
        <f t="shared" si="8"/>
        <v>45900</v>
      </c>
      <c r="G183" s="5">
        <v>54</v>
      </c>
      <c r="H183" s="5">
        <v>1146</v>
      </c>
      <c r="I183" s="6">
        <v>3.3597999999999999</v>
      </c>
      <c r="J183" s="5">
        <v>0</v>
      </c>
      <c r="K183" s="7">
        <v>0.48199999999999998</v>
      </c>
      <c r="L183" s="5">
        <v>4054</v>
      </c>
      <c r="M183" s="6">
        <v>3.53</v>
      </c>
    </row>
    <row r="184" spans="1:13" x14ac:dyDescent="0.35">
      <c r="A184" s="4" t="s">
        <v>759</v>
      </c>
      <c r="B184" s="4" t="s">
        <v>760</v>
      </c>
      <c r="C184" s="4" t="str">
        <f t="shared" si="6"/>
        <v>Call 7021988393 | 2BHK Affordable Flat i</v>
      </c>
      <c r="D184" s="4" t="str">
        <f t="shared" ca="1" si="7"/>
        <v>Last 365 Days</v>
      </c>
      <c r="E184" s="13">
        <v>45876</v>
      </c>
      <c r="F184" s="23">
        <f t="shared" si="8"/>
        <v>45900</v>
      </c>
      <c r="G184" s="5">
        <v>49</v>
      </c>
      <c r="H184" s="5">
        <v>712</v>
      </c>
      <c r="I184" s="6">
        <v>1.3833</v>
      </c>
      <c r="J184" s="5">
        <v>0</v>
      </c>
      <c r="K184" s="7">
        <v>0.26100000000000001</v>
      </c>
      <c r="L184" s="5">
        <v>1602</v>
      </c>
      <c r="M184" s="6">
        <v>3.93</v>
      </c>
    </row>
    <row r="185" spans="1:13" x14ac:dyDescent="0.35">
      <c r="A185" s="4" t="s">
        <v>453</v>
      </c>
      <c r="B185" s="4" t="s">
        <v>991</v>
      </c>
      <c r="C185" s="4" t="str">
        <f t="shared" si="6"/>
        <v>Call 7021988393 | Property | Property Bu</v>
      </c>
      <c r="D185" s="4" t="str">
        <f t="shared" ca="1" si="7"/>
        <v>Last 365 Days</v>
      </c>
      <c r="E185" s="13">
        <v>45875</v>
      </c>
      <c r="F185" s="23">
        <f t="shared" si="8"/>
        <v>45900</v>
      </c>
      <c r="G185" s="5">
        <v>61</v>
      </c>
      <c r="H185" s="5">
        <v>1040</v>
      </c>
      <c r="I185" s="6">
        <v>4.7895000000000003</v>
      </c>
      <c r="J185" s="5">
        <v>1</v>
      </c>
      <c r="K185" s="7">
        <v>0.61899999999999999</v>
      </c>
      <c r="L185" s="5">
        <v>1270</v>
      </c>
      <c r="M185" s="6">
        <v>3.23</v>
      </c>
    </row>
    <row r="186" spans="1:13" x14ac:dyDescent="0.35">
      <c r="A186" s="4" t="s">
        <v>726</v>
      </c>
      <c r="B186" s="4" t="s">
        <v>727</v>
      </c>
      <c r="C186" s="4" t="str">
        <f t="shared" si="6"/>
        <v xml:space="preserve">Call 7021988393 | Kalyan West Ka Budget </v>
      </c>
      <c r="D186" s="4" t="str">
        <f t="shared" ca="1" si="7"/>
        <v>Last 365 Days</v>
      </c>
      <c r="E186" s="13">
        <v>45874</v>
      </c>
      <c r="F186" s="23">
        <f t="shared" si="8"/>
        <v>45900</v>
      </c>
      <c r="G186" s="5">
        <v>32</v>
      </c>
      <c r="H186" s="5">
        <v>747</v>
      </c>
      <c r="I186" s="6">
        <v>1.6669</v>
      </c>
      <c r="J186" s="5">
        <v>0</v>
      </c>
      <c r="K186" s="7">
        <v>0.23100000000000001</v>
      </c>
      <c r="L186" s="5">
        <v>2920</v>
      </c>
      <c r="M186" s="6">
        <v>3.22</v>
      </c>
    </row>
    <row r="187" spans="1:13" x14ac:dyDescent="0.35">
      <c r="A187" s="4" t="s">
        <v>851</v>
      </c>
      <c r="B187" s="4" t="s">
        <v>1004</v>
      </c>
      <c r="C187" s="4" t="str">
        <f t="shared" si="6"/>
        <v>Property | Real Estate Tips for Buyers |</v>
      </c>
      <c r="D187" s="4" t="str">
        <f t="shared" ca="1" si="7"/>
        <v>Last 365 Days</v>
      </c>
      <c r="E187" s="13">
        <v>45874</v>
      </c>
      <c r="F187" s="23">
        <f t="shared" si="8"/>
        <v>45900</v>
      </c>
      <c r="G187" s="5">
        <v>181</v>
      </c>
      <c r="H187" s="5">
        <v>618</v>
      </c>
      <c r="I187" s="6">
        <v>11.7858</v>
      </c>
      <c r="J187" s="5">
        <v>8</v>
      </c>
      <c r="K187" s="7">
        <v>39.287999999999997</v>
      </c>
      <c r="L187" s="5">
        <v>6415</v>
      </c>
      <c r="M187" s="6">
        <v>3.65</v>
      </c>
    </row>
    <row r="188" spans="1:13" x14ac:dyDescent="0.35">
      <c r="A188" s="4" t="s">
        <v>698</v>
      </c>
      <c r="B188" s="4" t="s">
        <v>699</v>
      </c>
      <c r="C188" s="4" t="str">
        <f t="shared" si="6"/>
        <v>Beautifully Planned Luxury Project in Ka</v>
      </c>
      <c r="D188" s="4" t="str">
        <f t="shared" ca="1" si="7"/>
        <v>Last 365 Days</v>
      </c>
      <c r="E188" s="13">
        <v>45872</v>
      </c>
      <c r="F188" s="23">
        <f t="shared" si="8"/>
        <v>45900</v>
      </c>
      <c r="G188" s="5">
        <v>57</v>
      </c>
      <c r="H188" s="5">
        <v>773</v>
      </c>
      <c r="I188" s="6">
        <v>1.9931000000000001</v>
      </c>
      <c r="J188" s="5">
        <v>0</v>
      </c>
      <c r="K188" s="7">
        <v>0.28799999999999998</v>
      </c>
      <c r="L188" s="5">
        <v>2435</v>
      </c>
      <c r="M188" s="6">
        <v>4.2699999999999996</v>
      </c>
    </row>
    <row r="189" spans="1:13" x14ac:dyDescent="0.35">
      <c r="A189" s="4" t="s">
        <v>827</v>
      </c>
      <c r="B189" s="4" t="s">
        <v>828</v>
      </c>
      <c r="C189" s="4" t="str">
        <f t="shared" si="6"/>
        <v>Call 7021988393 | 2BHK Beautiful Flat in</v>
      </c>
      <c r="D189" s="4" t="str">
        <f t="shared" ca="1" si="7"/>
        <v>Last 365 Days</v>
      </c>
      <c r="E189" s="13">
        <v>45871</v>
      </c>
      <c r="F189" s="23">
        <f t="shared" si="8"/>
        <v>45900</v>
      </c>
      <c r="G189" s="5">
        <v>39</v>
      </c>
      <c r="H189" s="5">
        <v>633</v>
      </c>
      <c r="I189" s="6">
        <v>1.2304999999999999</v>
      </c>
      <c r="J189" s="5">
        <v>0</v>
      </c>
      <c r="K189" s="7">
        <v>0.20200000000000001</v>
      </c>
      <c r="L189" s="5">
        <v>2191</v>
      </c>
      <c r="M189" s="6">
        <v>3.29</v>
      </c>
    </row>
    <row r="190" spans="1:13" x14ac:dyDescent="0.35">
      <c r="A190" s="4" t="s">
        <v>250</v>
      </c>
      <c r="B190" s="4" t="s">
        <v>251</v>
      </c>
      <c r="C190" s="4" t="str">
        <f t="shared" si="6"/>
        <v>Call 7021988393 | Kalyan Me Highway Touc</v>
      </c>
      <c r="D190" s="4" t="str">
        <f t="shared" ca="1" si="7"/>
        <v>Last 365 Days</v>
      </c>
      <c r="E190" s="13">
        <v>45870</v>
      </c>
      <c r="F190" s="23">
        <f t="shared" si="8"/>
        <v>45900</v>
      </c>
      <c r="G190" s="5">
        <v>56</v>
      </c>
      <c r="H190" s="5">
        <v>1454</v>
      </c>
      <c r="I190" s="6">
        <v>6.0876999999999999</v>
      </c>
      <c r="J190" s="5">
        <v>2</v>
      </c>
      <c r="K190" s="7">
        <v>0.7</v>
      </c>
      <c r="L190" s="5">
        <v>4559</v>
      </c>
      <c r="M190" s="6">
        <v>4.87</v>
      </c>
    </row>
    <row r="191" spans="1:13" x14ac:dyDescent="0.35">
      <c r="A191" s="4" t="s">
        <v>507</v>
      </c>
      <c r="B191" s="4" t="s">
        <v>508</v>
      </c>
      <c r="C191" s="4" t="str">
        <f t="shared" si="6"/>
        <v>Call 7021988393 | Dombivli Me Luxury 2BH</v>
      </c>
      <c r="D191" s="4" t="str">
        <f t="shared" ca="1" si="7"/>
        <v>Last 365 Days</v>
      </c>
      <c r="E191" s="13">
        <v>45869</v>
      </c>
      <c r="F191" s="23">
        <f t="shared" si="8"/>
        <v>45869</v>
      </c>
      <c r="G191" s="5">
        <v>51</v>
      </c>
      <c r="H191" s="5">
        <v>966</v>
      </c>
      <c r="I191" s="6">
        <v>2.3351000000000002</v>
      </c>
      <c r="J191" s="5">
        <v>5</v>
      </c>
      <c r="K191" s="7">
        <v>0.22600000000000001</v>
      </c>
      <c r="L191" s="5">
        <v>1871</v>
      </c>
      <c r="M191" s="6">
        <v>3.37</v>
      </c>
    </row>
    <row r="192" spans="1:13" x14ac:dyDescent="0.35">
      <c r="A192" s="4" t="s">
        <v>409</v>
      </c>
      <c r="B192" s="4" t="s">
        <v>410</v>
      </c>
      <c r="C192" s="4" t="str">
        <f t="shared" si="6"/>
        <v xml:space="preserve">Call 7021988393 | Kalyan Ka Best Budget </v>
      </c>
      <c r="D192" s="4" t="str">
        <f t="shared" ca="1" si="7"/>
        <v>Last 365 Days</v>
      </c>
      <c r="E192" s="13">
        <v>45868</v>
      </c>
      <c r="F192" s="23">
        <f t="shared" si="8"/>
        <v>45869</v>
      </c>
      <c r="G192" s="5">
        <v>71</v>
      </c>
      <c r="H192" s="5">
        <v>1099</v>
      </c>
      <c r="I192" s="6">
        <v>4.6513999999999998</v>
      </c>
      <c r="J192" s="5">
        <v>2</v>
      </c>
      <c r="K192" s="7">
        <v>0.3</v>
      </c>
      <c r="L192" s="5">
        <v>2731</v>
      </c>
      <c r="M192" s="6">
        <v>3.37</v>
      </c>
    </row>
    <row r="193" spans="1:13" x14ac:dyDescent="0.35">
      <c r="A193" s="4" t="s">
        <v>732</v>
      </c>
      <c r="B193" s="4" t="s">
        <v>733</v>
      </c>
      <c r="C193" s="4" t="str">
        <f t="shared" si="6"/>
        <v>Call 7021988393 | Prime Location Prime P</v>
      </c>
      <c r="D193" s="4" t="str">
        <f t="shared" ca="1" si="7"/>
        <v>Last 365 Days</v>
      </c>
      <c r="E193" s="13">
        <v>45868</v>
      </c>
      <c r="F193" s="23">
        <f t="shared" si="8"/>
        <v>45869</v>
      </c>
      <c r="G193" s="5">
        <v>33</v>
      </c>
      <c r="H193" s="5">
        <v>743</v>
      </c>
      <c r="I193" s="6">
        <v>1.4046000000000001</v>
      </c>
      <c r="J193" s="5">
        <v>6</v>
      </c>
      <c r="K193" s="7">
        <v>0.28399999999999997</v>
      </c>
      <c r="L193" s="5">
        <v>2206</v>
      </c>
      <c r="M193" s="6">
        <v>2.86</v>
      </c>
    </row>
    <row r="194" spans="1:13" x14ac:dyDescent="0.35">
      <c r="A194" s="4" t="s">
        <v>106</v>
      </c>
      <c r="B194" s="4" t="s">
        <v>107</v>
      </c>
      <c r="C194" s="4" t="str">
        <f t="shared" si="6"/>
        <v>Call 7021988393 | Commercial Spaces in K</v>
      </c>
      <c r="D194" s="4" t="str">
        <f t="shared" ca="1" si="7"/>
        <v>Last 365 Days</v>
      </c>
      <c r="E194" s="13">
        <v>45867</v>
      </c>
      <c r="F194" s="23">
        <f t="shared" si="8"/>
        <v>45869</v>
      </c>
      <c r="G194" s="5">
        <v>35</v>
      </c>
      <c r="H194" s="5">
        <v>2255</v>
      </c>
      <c r="I194" s="6">
        <v>7.9134000000000002</v>
      </c>
      <c r="J194" s="5">
        <v>3</v>
      </c>
      <c r="K194" s="7">
        <v>0.66400000000000003</v>
      </c>
      <c r="L194" s="5">
        <v>6890</v>
      </c>
      <c r="M194" s="6">
        <v>7.4</v>
      </c>
    </row>
    <row r="195" spans="1:13" x14ac:dyDescent="0.35">
      <c r="A195" s="4" t="s">
        <v>626</v>
      </c>
      <c r="B195" s="4" t="s">
        <v>627</v>
      </c>
      <c r="C195" s="4" t="str">
        <f t="shared" ref="C195:C258" si="9">LEFT(B195,40)</f>
        <v>Call 7021988393 | Kalyan Main Best Locat</v>
      </c>
      <c r="D195" s="4" t="str">
        <f t="shared" ref="D195:D258" ca="1" si="10">IF(E195&gt;=TODAY()-28,"Last 28 Days",IF(E195&gt;=TODAY()-90,"Last 90 Days",IF(E195&gt;=TODAY()-365,"Last 365 Days","Older")))</f>
        <v>Last 365 Days</v>
      </c>
      <c r="E195" s="13">
        <v>45867</v>
      </c>
      <c r="F195" s="23">
        <f t="shared" ref="F195:F258" si="11">EOMONTH(E195,0)</f>
        <v>45869</v>
      </c>
      <c r="G195" s="5">
        <v>41</v>
      </c>
      <c r="H195" s="5">
        <v>829</v>
      </c>
      <c r="I195" s="6">
        <v>2.6520999999999999</v>
      </c>
      <c r="J195" s="5">
        <v>1</v>
      </c>
      <c r="K195" s="7">
        <v>7.1999999999999995E-2</v>
      </c>
      <c r="L195" s="5">
        <v>2658</v>
      </c>
      <c r="M195" s="6">
        <v>3.54</v>
      </c>
    </row>
    <row r="196" spans="1:13" x14ac:dyDescent="0.35">
      <c r="A196" s="4" t="s">
        <v>253</v>
      </c>
      <c r="B196" s="4" t="s">
        <v>254</v>
      </c>
      <c r="C196" s="4" t="str">
        <f t="shared" si="9"/>
        <v>Call 7021988393 | 1BHK Flat in Kalyan We</v>
      </c>
      <c r="D196" s="4" t="str">
        <f t="shared" ca="1" si="10"/>
        <v>Last 365 Days</v>
      </c>
      <c r="E196" s="13">
        <v>45864</v>
      </c>
      <c r="F196" s="23">
        <f t="shared" si="11"/>
        <v>45869</v>
      </c>
      <c r="G196" s="5">
        <v>32</v>
      </c>
      <c r="H196" s="5">
        <v>1441</v>
      </c>
      <c r="I196" s="6">
        <v>3.5345</v>
      </c>
      <c r="J196" s="5">
        <v>6</v>
      </c>
      <c r="K196" s="7">
        <v>0.153</v>
      </c>
      <c r="L196" s="5">
        <v>3989</v>
      </c>
      <c r="M196" s="6">
        <v>5.57</v>
      </c>
    </row>
    <row r="197" spans="1:13" x14ac:dyDescent="0.35">
      <c r="A197" s="4" t="s">
        <v>308</v>
      </c>
      <c r="B197" s="4" t="s">
        <v>309</v>
      </c>
      <c r="C197" s="4" t="str">
        <f t="shared" si="9"/>
        <v>Call 7021988393 | Kalyan Ka Big Empire |</v>
      </c>
      <c r="D197" s="4" t="str">
        <f t="shared" ca="1" si="10"/>
        <v>Last 365 Days</v>
      </c>
      <c r="E197" s="13">
        <v>45864</v>
      </c>
      <c r="F197" s="23">
        <f t="shared" si="11"/>
        <v>45869</v>
      </c>
      <c r="G197" s="5">
        <v>45</v>
      </c>
      <c r="H197" s="5">
        <v>1281</v>
      </c>
      <c r="I197" s="6">
        <v>4.6539000000000001</v>
      </c>
      <c r="J197" s="5">
        <v>4</v>
      </c>
      <c r="K197" s="7">
        <v>0.27800000000000002</v>
      </c>
      <c r="L197" s="5">
        <v>5821</v>
      </c>
      <c r="M197" s="6">
        <v>6.53</v>
      </c>
    </row>
    <row r="198" spans="1:13" x14ac:dyDescent="0.35">
      <c r="A198" s="4" t="s">
        <v>712</v>
      </c>
      <c r="B198" s="4" t="s">
        <v>713</v>
      </c>
      <c r="C198" s="4" t="str">
        <f t="shared" si="9"/>
        <v>Call 7021988393 | 1BHK Premium Flat at B</v>
      </c>
      <c r="D198" s="4" t="str">
        <f t="shared" ca="1" si="10"/>
        <v>Last 365 Days</v>
      </c>
      <c r="E198" s="13">
        <v>45863</v>
      </c>
      <c r="F198" s="23">
        <f t="shared" si="11"/>
        <v>45869</v>
      </c>
      <c r="G198" s="5">
        <v>39</v>
      </c>
      <c r="H198" s="5">
        <v>753</v>
      </c>
      <c r="I198" s="6">
        <v>1.9431</v>
      </c>
      <c r="J198" s="5">
        <v>5</v>
      </c>
      <c r="K198" s="7">
        <v>9.1999999999999998E-2</v>
      </c>
      <c r="L198" s="5">
        <v>3064</v>
      </c>
      <c r="M198" s="6">
        <v>5.09</v>
      </c>
    </row>
    <row r="199" spans="1:13" x14ac:dyDescent="0.35">
      <c r="A199" s="4" t="s">
        <v>736</v>
      </c>
      <c r="B199" s="4" t="s">
        <v>737</v>
      </c>
      <c r="C199" s="4" t="str">
        <f t="shared" si="9"/>
        <v>Call 7021988393 | Kalyan Me Premium Luxu</v>
      </c>
      <c r="D199" s="4" t="str">
        <f t="shared" ca="1" si="10"/>
        <v>Last 365 Days</v>
      </c>
      <c r="E199" s="13">
        <v>45863</v>
      </c>
      <c r="F199" s="23">
        <f t="shared" si="11"/>
        <v>45869</v>
      </c>
      <c r="G199" s="5">
        <v>32</v>
      </c>
      <c r="H199" s="5">
        <v>736</v>
      </c>
      <c r="I199" s="6">
        <v>1.7889999999999999</v>
      </c>
      <c r="J199" s="5">
        <v>3</v>
      </c>
      <c r="K199" s="7">
        <v>0.112</v>
      </c>
      <c r="L199" s="5">
        <v>2680</v>
      </c>
      <c r="M199" s="6">
        <v>4.8899999999999997</v>
      </c>
    </row>
    <row r="200" spans="1:13" x14ac:dyDescent="0.35">
      <c r="A200" s="4" t="s">
        <v>113</v>
      </c>
      <c r="B200" s="4" t="s">
        <v>114</v>
      </c>
      <c r="C200" s="4" t="str">
        <f t="shared" si="9"/>
        <v xml:space="preserve">Call 7021988393 | Affordable 1BHK Flats </v>
      </c>
      <c r="D200" s="4" t="str">
        <f t="shared" ca="1" si="10"/>
        <v>Last 365 Days</v>
      </c>
      <c r="E200" s="13">
        <v>45862</v>
      </c>
      <c r="F200" s="23">
        <f t="shared" si="11"/>
        <v>45869</v>
      </c>
      <c r="G200" s="5">
        <v>62</v>
      </c>
      <c r="H200" s="5">
        <v>2189</v>
      </c>
      <c r="I200" s="6">
        <v>8.3957999999999995</v>
      </c>
      <c r="J200" s="5">
        <v>1</v>
      </c>
      <c r="K200" s="7">
        <v>0.20599999999999999</v>
      </c>
      <c r="L200" s="5">
        <v>4031</v>
      </c>
      <c r="M200" s="6">
        <v>4.59</v>
      </c>
    </row>
    <row r="201" spans="1:13" x14ac:dyDescent="0.35">
      <c r="A201" s="4" t="s">
        <v>539</v>
      </c>
      <c r="B201" s="4" t="s">
        <v>540</v>
      </c>
      <c r="C201" s="4" t="str">
        <f t="shared" si="9"/>
        <v xml:space="preserve">Call 7021988393 | 2BHK Flat Near Kalyan </v>
      </c>
      <c r="D201" s="4" t="str">
        <f t="shared" ca="1" si="10"/>
        <v>Last 365 Days</v>
      </c>
      <c r="E201" s="13">
        <v>45862</v>
      </c>
      <c r="F201" s="23">
        <f t="shared" si="11"/>
        <v>45869</v>
      </c>
      <c r="G201" s="5">
        <v>62</v>
      </c>
      <c r="H201" s="5">
        <v>927</v>
      </c>
      <c r="I201" s="6">
        <v>5.5304000000000002</v>
      </c>
      <c r="J201" s="5">
        <v>4</v>
      </c>
      <c r="K201" s="7">
        <v>0.35099999999999998</v>
      </c>
      <c r="L201" s="5">
        <v>6084</v>
      </c>
      <c r="M201" s="6">
        <v>6.67</v>
      </c>
    </row>
    <row r="202" spans="1:13" x14ac:dyDescent="0.35">
      <c r="A202" s="4" t="s">
        <v>364</v>
      </c>
      <c r="B202" s="4" t="s">
        <v>365</v>
      </c>
      <c r="C202" s="4" t="str">
        <f t="shared" si="9"/>
        <v>Call 7021988393 | Kalyan East Ka Premium</v>
      </c>
      <c r="D202" s="4" t="str">
        <f t="shared" ca="1" si="10"/>
        <v>Last 365 Days</v>
      </c>
      <c r="E202" s="13">
        <v>45861</v>
      </c>
      <c r="F202" s="23">
        <f t="shared" si="11"/>
        <v>45869</v>
      </c>
      <c r="G202" s="5">
        <v>41</v>
      </c>
      <c r="H202" s="5">
        <v>1185</v>
      </c>
      <c r="I202" s="6">
        <v>2.5451000000000001</v>
      </c>
      <c r="J202" s="5">
        <v>2</v>
      </c>
      <c r="K202" s="7">
        <v>0.108</v>
      </c>
      <c r="L202" s="5">
        <v>2842</v>
      </c>
      <c r="M202" s="6">
        <v>5.24</v>
      </c>
    </row>
    <row r="203" spans="1:13" x14ac:dyDescent="0.35">
      <c r="A203" s="4" t="s">
        <v>643</v>
      </c>
      <c r="B203" s="4" t="s">
        <v>114</v>
      </c>
      <c r="C203" s="4" t="str">
        <f t="shared" si="9"/>
        <v xml:space="preserve">Call 7021988393 | Affordable 1BHK Flats </v>
      </c>
      <c r="D203" s="4" t="str">
        <f t="shared" ca="1" si="10"/>
        <v>Last 365 Days</v>
      </c>
      <c r="E203" s="13">
        <v>45861</v>
      </c>
      <c r="F203" s="23">
        <f t="shared" si="11"/>
        <v>45869</v>
      </c>
      <c r="G203" s="5">
        <v>62</v>
      </c>
      <c r="H203" s="5">
        <v>818</v>
      </c>
      <c r="I203" s="6">
        <v>3.7905000000000002</v>
      </c>
      <c r="J203" s="5">
        <v>0</v>
      </c>
      <c r="K203" s="7"/>
      <c r="L203" s="5">
        <v>583</v>
      </c>
      <c r="M203" s="6">
        <v>7.03</v>
      </c>
    </row>
    <row r="204" spans="1:13" x14ac:dyDescent="0.35">
      <c r="A204" s="4" t="s">
        <v>42</v>
      </c>
      <c r="B204" s="4" t="s">
        <v>43</v>
      </c>
      <c r="C204" s="4" t="str">
        <f t="shared" si="9"/>
        <v>Kalyan Vihar 1BHK Sample Flat Tour | New</v>
      </c>
      <c r="D204" s="4" t="str">
        <f t="shared" ca="1" si="10"/>
        <v>Last 365 Days</v>
      </c>
      <c r="E204" s="13">
        <v>45860</v>
      </c>
      <c r="F204" s="23">
        <f t="shared" si="11"/>
        <v>45869</v>
      </c>
      <c r="G204" s="5">
        <v>205</v>
      </c>
      <c r="H204" s="5">
        <v>4596</v>
      </c>
      <c r="I204" s="6">
        <v>99.172799999999995</v>
      </c>
      <c r="J204" s="5">
        <v>9</v>
      </c>
      <c r="K204" s="7">
        <v>18.074000000000002</v>
      </c>
      <c r="L204" s="5">
        <v>4166</v>
      </c>
      <c r="M204" s="6">
        <v>5.88</v>
      </c>
    </row>
    <row r="205" spans="1:13" x14ac:dyDescent="0.35">
      <c r="A205" s="4" t="s">
        <v>486</v>
      </c>
      <c r="B205" s="4" t="s">
        <v>487</v>
      </c>
      <c r="C205" s="4" t="str">
        <f t="shared" si="9"/>
        <v>Call 7021988393 | Kalyan Me Modern Ameni</v>
      </c>
      <c r="D205" s="4" t="str">
        <f t="shared" ca="1" si="10"/>
        <v>Last 365 Days</v>
      </c>
      <c r="E205" s="13">
        <v>45860</v>
      </c>
      <c r="F205" s="23">
        <f t="shared" si="11"/>
        <v>45869</v>
      </c>
      <c r="G205" s="5">
        <v>58</v>
      </c>
      <c r="H205" s="5">
        <v>982</v>
      </c>
      <c r="I205" s="6">
        <v>4.6421000000000001</v>
      </c>
      <c r="J205" s="5">
        <v>5</v>
      </c>
      <c r="K205" s="7">
        <v>9.4E-2</v>
      </c>
      <c r="L205" s="5">
        <v>3828</v>
      </c>
      <c r="M205" s="6">
        <v>5.36</v>
      </c>
    </row>
    <row r="206" spans="1:13" x14ac:dyDescent="0.35">
      <c r="A206" s="4" t="s">
        <v>203</v>
      </c>
      <c r="B206" s="4" t="s">
        <v>204</v>
      </c>
      <c r="C206" s="4" t="str">
        <f t="shared" si="9"/>
        <v>Call 7021988393 | Mangeshi World 2BHK Sa</v>
      </c>
      <c r="D206" s="4" t="str">
        <f t="shared" ca="1" si="10"/>
        <v>Last 365 Days</v>
      </c>
      <c r="E206" s="13">
        <v>45858</v>
      </c>
      <c r="F206" s="23">
        <f t="shared" si="11"/>
        <v>45869</v>
      </c>
      <c r="G206" s="5">
        <v>53</v>
      </c>
      <c r="H206" s="5">
        <v>1595</v>
      </c>
      <c r="I206" s="6">
        <v>3.3174999999999999</v>
      </c>
      <c r="J206" s="5">
        <v>0</v>
      </c>
      <c r="K206" s="7">
        <v>0.05</v>
      </c>
      <c r="L206" s="5">
        <v>2690</v>
      </c>
      <c r="M206" s="6">
        <v>3.53</v>
      </c>
    </row>
    <row r="207" spans="1:13" x14ac:dyDescent="0.35">
      <c r="A207" s="4" t="s">
        <v>566</v>
      </c>
      <c r="B207" s="4" t="s">
        <v>567</v>
      </c>
      <c r="C207" s="4" t="str">
        <f t="shared" si="9"/>
        <v>Kalyan Residency 1BHK Flat Tour | Afford</v>
      </c>
      <c r="D207" s="4" t="str">
        <f t="shared" ca="1" si="10"/>
        <v>Last 365 Days</v>
      </c>
      <c r="E207" s="13">
        <v>45858</v>
      </c>
      <c r="F207" s="23">
        <f t="shared" si="11"/>
        <v>45869</v>
      </c>
      <c r="G207" s="5">
        <v>186</v>
      </c>
      <c r="H207" s="5">
        <v>895</v>
      </c>
      <c r="I207" s="6">
        <v>16.5489</v>
      </c>
      <c r="J207" s="5">
        <v>10</v>
      </c>
      <c r="K207" s="7">
        <v>15.118</v>
      </c>
      <c r="L207" s="5">
        <v>9341</v>
      </c>
      <c r="M207" s="6">
        <v>6.67</v>
      </c>
    </row>
    <row r="208" spans="1:13" x14ac:dyDescent="0.35">
      <c r="A208" s="4" t="s">
        <v>242</v>
      </c>
      <c r="B208" s="4" t="s">
        <v>243</v>
      </c>
      <c r="C208" s="4" t="str">
        <f t="shared" si="9"/>
        <v>Call 7021988393 | Luxury Project in Titw</v>
      </c>
      <c r="D208" s="4" t="str">
        <f t="shared" ca="1" si="10"/>
        <v>Last 365 Days</v>
      </c>
      <c r="E208" s="13">
        <v>45857</v>
      </c>
      <c r="F208" s="23">
        <f t="shared" si="11"/>
        <v>45869</v>
      </c>
      <c r="G208" s="5">
        <v>58</v>
      </c>
      <c r="H208" s="5">
        <v>1474</v>
      </c>
      <c r="I208" s="6">
        <v>4.1669</v>
      </c>
      <c r="J208" s="5">
        <v>4</v>
      </c>
      <c r="K208" s="7">
        <v>0.19600000000000001</v>
      </c>
      <c r="L208" s="5">
        <v>5764</v>
      </c>
      <c r="M208" s="6">
        <v>2.98</v>
      </c>
    </row>
    <row r="209" spans="1:13" x14ac:dyDescent="0.35">
      <c r="A209" s="4" t="s">
        <v>420</v>
      </c>
      <c r="B209" s="4" t="s">
        <v>980</v>
      </c>
      <c r="C209" s="4" t="str">
        <f t="shared" si="9"/>
        <v>7021988393Affordble &amp; Luxury 3 BHK Fla</v>
      </c>
      <c r="D209" s="4" t="str">
        <f t="shared" ca="1" si="10"/>
        <v>Last 365 Days</v>
      </c>
      <c r="E209" s="13">
        <v>45857</v>
      </c>
      <c r="F209" s="23">
        <f t="shared" si="11"/>
        <v>45869</v>
      </c>
      <c r="G209" s="5">
        <v>51</v>
      </c>
      <c r="H209" s="5">
        <v>1083</v>
      </c>
      <c r="I209" s="6">
        <v>3.4914000000000001</v>
      </c>
      <c r="J209" s="5">
        <v>2</v>
      </c>
      <c r="K209" s="7">
        <v>0.13500000000000001</v>
      </c>
      <c r="L209" s="5">
        <v>3712</v>
      </c>
      <c r="M209" s="6">
        <v>2.5099999999999998</v>
      </c>
    </row>
    <row r="210" spans="1:13" x14ac:dyDescent="0.35">
      <c r="A210" s="4" t="s">
        <v>227</v>
      </c>
      <c r="B210" s="4" t="s">
        <v>228</v>
      </c>
      <c r="C210" s="4" t="str">
        <f t="shared" si="9"/>
        <v xml:space="preserve">Call 7021988393 | Kulswamini Pride 2BHK </v>
      </c>
      <c r="D210" s="4" t="str">
        <f t="shared" ca="1" si="10"/>
        <v>Last 365 Days</v>
      </c>
      <c r="E210" s="13">
        <v>45856</v>
      </c>
      <c r="F210" s="23">
        <f t="shared" si="11"/>
        <v>45869</v>
      </c>
      <c r="G210" s="5">
        <v>52</v>
      </c>
      <c r="H210" s="5">
        <v>1537</v>
      </c>
      <c r="I210" s="6">
        <v>3.4037999999999999</v>
      </c>
      <c r="J210" s="5">
        <v>3</v>
      </c>
      <c r="K210" s="7">
        <v>6.7000000000000004E-2</v>
      </c>
      <c r="L210" s="5">
        <v>2752</v>
      </c>
      <c r="M210" s="6">
        <v>4.03</v>
      </c>
    </row>
    <row r="211" spans="1:13" x14ac:dyDescent="0.35">
      <c r="A211" s="4" t="s">
        <v>148</v>
      </c>
      <c r="B211" s="4" t="s">
        <v>149</v>
      </c>
      <c r="C211" s="4" t="str">
        <f t="shared" si="9"/>
        <v>Call 7021988393 | Kalyan Khadakpada ka S</v>
      </c>
      <c r="D211" s="4" t="str">
        <f t="shared" ca="1" si="10"/>
        <v>Last 365 Days</v>
      </c>
      <c r="E211" s="13">
        <v>45855</v>
      </c>
      <c r="F211" s="23">
        <f t="shared" si="11"/>
        <v>45869</v>
      </c>
      <c r="G211" s="5">
        <v>39</v>
      </c>
      <c r="H211" s="5">
        <v>1908</v>
      </c>
      <c r="I211" s="6">
        <v>3.8252000000000002</v>
      </c>
      <c r="J211" s="5">
        <v>4</v>
      </c>
      <c r="K211" s="7">
        <v>6.5000000000000002E-2</v>
      </c>
      <c r="L211" s="5">
        <v>4092</v>
      </c>
      <c r="M211" s="6">
        <v>3.27</v>
      </c>
    </row>
    <row r="212" spans="1:13" x14ac:dyDescent="0.35">
      <c r="A212" s="4" t="s">
        <v>348</v>
      </c>
      <c r="B212" s="4" t="s">
        <v>349</v>
      </c>
      <c r="C212" s="4" t="str">
        <f t="shared" si="9"/>
        <v>Call 7021988393 | Super Spacious 1BHK Fl</v>
      </c>
      <c r="D212" s="4" t="str">
        <f t="shared" ca="1" si="10"/>
        <v>Last 365 Days</v>
      </c>
      <c r="E212" s="13">
        <v>45844</v>
      </c>
      <c r="F212" s="23">
        <f t="shared" si="11"/>
        <v>45869</v>
      </c>
      <c r="G212" s="5">
        <v>22</v>
      </c>
      <c r="H212" s="5">
        <v>1212</v>
      </c>
      <c r="I212" s="6">
        <v>1.7332000000000001</v>
      </c>
      <c r="J212" s="5">
        <v>2</v>
      </c>
      <c r="K212" s="7">
        <v>0.38300000000000001</v>
      </c>
      <c r="L212" s="5">
        <v>2576</v>
      </c>
      <c r="M212" s="6">
        <v>3.73</v>
      </c>
    </row>
    <row r="213" spans="1:13" x14ac:dyDescent="0.35">
      <c r="A213" s="4" t="s">
        <v>583</v>
      </c>
      <c r="B213" s="4" t="s">
        <v>584</v>
      </c>
      <c r="C213" s="4" t="str">
        <f t="shared" si="9"/>
        <v xml:space="preserve">Call 7021988393 | Kalyan Me Sirf 45L Me </v>
      </c>
      <c r="D213" s="4" t="str">
        <f t="shared" ca="1" si="10"/>
        <v>Last 365 Days</v>
      </c>
      <c r="E213" s="13">
        <v>45844</v>
      </c>
      <c r="F213" s="23">
        <f t="shared" si="11"/>
        <v>45869</v>
      </c>
      <c r="G213" s="5">
        <v>48</v>
      </c>
      <c r="H213" s="5">
        <v>861</v>
      </c>
      <c r="I213" s="6">
        <v>2.7242999999999999</v>
      </c>
      <c r="J213" s="5">
        <v>5</v>
      </c>
      <c r="K213" s="7">
        <v>0.36799999999999999</v>
      </c>
      <c r="L213" s="5">
        <v>2840</v>
      </c>
      <c r="M213" s="6">
        <v>5.77</v>
      </c>
    </row>
    <row r="214" spans="1:13" x14ac:dyDescent="0.35">
      <c r="A214" s="4" t="s">
        <v>641</v>
      </c>
      <c r="B214" s="4" t="s">
        <v>642</v>
      </c>
      <c r="C214" s="4" t="str">
        <f t="shared" si="9"/>
        <v>Kalyan Ka Big Empire | Tharwani Vedant E</v>
      </c>
      <c r="D214" s="4" t="str">
        <f t="shared" ca="1" si="10"/>
        <v>Last 365 Days</v>
      </c>
      <c r="E214" s="13">
        <v>45843</v>
      </c>
      <c r="F214" s="23">
        <f t="shared" si="11"/>
        <v>45869</v>
      </c>
      <c r="G214" s="5">
        <v>90</v>
      </c>
      <c r="H214" s="5">
        <v>821</v>
      </c>
      <c r="I214" s="6">
        <v>10.924099999999999</v>
      </c>
      <c r="J214" s="5">
        <v>0</v>
      </c>
      <c r="K214" s="7">
        <v>28.655000000000001</v>
      </c>
      <c r="L214" s="5">
        <v>6509</v>
      </c>
      <c r="M214" s="6">
        <v>9.74</v>
      </c>
    </row>
    <row r="215" spans="1:13" x14ac:dyDescent="0.35">
      <c r="A215" s="4" t="s">
        <v>722</v>
      </c>
      <c r="B215" s="4" t="s">
        <v>723</v>
      </c>
      <c r="C215" s="4" t="str">
        <f t="shared" si="9"/>
        <v>Spacious Premium 1BHK Flat in Thakurli |</v>
      </c>
      <c r="D215" s="4" t="str">
        <f t="shared" ca="1" si="10"/>
        <v>Last 365 Days</v>
      </c>
      <c r="E215" s="13">
        <v>45843</v>
      </c>
      <c r="F215" s="23">
        <f t="shared" si="11"/>
        <v>45869</v>
      </c>
      <c r="G215" s="5">
        <v>40</v>
      </c>
      <c r="H215" s="5">
        <v>749</v>
      </c>
      <c r="I215" s="6">
        <v>1.7515000000000001</v>
      </c>
      <c r="J215" s="5">
        <v>1</v>
      </c>
      <c r="K215" s="7">
        <v>0.32600000000000001</v>
      </c>
      <c r="L215" s="5">
        <v>2172</v>
      </c>
      <c r="M215" s="6">
        <v>5.39</v>
      </c>
    </row>
    <row r="216" spans="1:13" x14ac:dyDescent="0.35">
      <c r="A216" s="4" t="s">
        <v>240</v>
      </c>
      <c r="B216" s="4" t="s">
        <v>241</v>
      </c>
      <c r="C216" s="4" t="str">
        <f t="shared" si="9"/>
        <v>Call 7021988393 | 1BHK Premium Flat in K</v>
      </c>
      <c r="D216" s="4" t="str">
        <f t="shared" ca="1" si="10"/>
        <v>Last 365 Days</v>
      </c>
      <c r="E216" s="13">
        <v>45842</v>
      </c>
      <c r="F216" s="23">
        <f t="shared" si="11"/>
        <v>45869</v>
      </c>
      <c r="G216" s="5">
        <v>39</v>
      </c>
      <c r="H216" s="5">
        <v>1482</v>
      </c>
      <c r="I216" s="6">
        <v>2.5632000000000001</v>
      </c>
      <c r="J216" s="5">
        <v>5</v>
      </c>
      <c r="K216" s="7">
        <v>0.58899999999999997</v>
      </c>
      <c r="L216" s="5">
        <v>1662</v>
      </c>
      <c r="M216" s="6">
        <v>4.09</v>
      </c>
    </row>
    <row r="217" spans="1:13" x14ac:dyDescent="0.35">
      <c r="A217" s="4" t="s">
        <v>874</v>
      </c>
      <c r="B217" s="4" t="s">
        <v>875</v>
      </c>
      <c r="C217" s="4" t="str">
        <f t="shared" si="9"/>
        <v>The Green Sapphirre Kalyan | Premium Tow</v>
      </c>
      <c r="D217" s="4" t="str">
        <f t="shared" ca="1" si="10"/>
        <v>Last 365 Days</v>
      </c>
      <c r="E217" s="13">
        <v>45842</v>
      </c>
      <c r="F217" s="23">
        <f t="shared" si="11"/>
        <v>45869</v>
      </c>
      <c r="G217" s="5">
        <v>91</v>
      </c>
      <c r="H217" s="5">
        <v>597</v>
      </c>
      <c r="I217" s="6">
        <v>8.2550000000000008</v>
      </c>
      <c r="J217" s="5">
        <v>2</v>
      </c>
      <c r="K217" s="7">
        <v>25.472999999999999</v>
      </c>
      <c r="L217" s="5">
        <v>3946</v>
      </c>
      <c r="M217" s="6">
        <v>11.68</v>
      </c>
    </row>
    <row r="218" spans="1:13" x14ac:dyDescent="0.35">
      <c r="A218" s="4" t="s">
        <v>268</v>
      </c>
      <c r="B218" s="4" t="s">
        <v>269</v>
      </c>
      <c r="C218" s="4" t="str">
        <f t="shared" si="9"/>
        <v>Call 7021988393 | Dombivli Me Nature Hom</v>
      </c>
      <c r="D218" s="4" t="str">
        <f t="shared" ca="1" si="10"/>
        <v>Last 365 Days</v>
      </c>
      <c r="E218" s="13">
        <v>45840</v>
      </c>
      <c r="F218" s="23">
        <f t="shared" si="11"/>
        <v>45869</v>
      </c>
      <c r="G218" s="5">
        <v>44</v>
      </c>
      <c r="H218" s="5">
        <v>1406</v>
      </c>
      <c r="I218" s="6">
        <v>3.5897999999999999</v>
      </c>
      <c r="J218" s="5">
        <v>1</v>
      </c>
      <c r="K218" s="7">
        <v>1.1639999999999999</v>
      </c>
      <c r="L218" s="5">
        <v>2091</v>
      </c>
      <c r="M218" s="6">
        <v>4.88</v>
      </c>
    </row>
    <row r="219" spans="1:13" x14ac:dyDescent="0.35">
      <c r="A219" s="4" t="s">
        <v>373</v>
      </c>
      <c r="B219" s="4" t="s">
        <v>374</v>
      </c>
      <c r="C219" s="4" t="str">
        <f t="shared" si="9"/>
        <v>Call 7021988393 | Siyara Fortune 1BHK Sa</v>
      </c>
      <c r="D219" s="4" t="str">
        <f t="shared" ca="1" si="10"/>
        <v>Last 365 Days</v>
      </c>
      <c r="E219" s="13">
        <v>45839</v>
      </c>
      <c r="F219" s="23">
        <f t="shared" si="11"/>
        <v>45869</v>
      </c>
      <c r="G219" s="5">
        <v>42</v>
      </c>
      <c r="H219" s="5">
        <v>1167</v>
      </c>
      <c r="I219" s="6">
        <v>1.9067000000000001</v>
      </c>
      <c r="J219" s="5">
        <v>4</v>
      </c>
      <c r="K219" s="7">
        <v>0.58299999999999996</v>
      </c>
      <c r="L219" s="5">
        <v>1932</v>
      </c>
      <c r="M219" s="6">
        <v>1.66</v>
      </c>
    </row>
    <row r="220" spans="1:13" x14ac:dyDescent="0.35">
      <c r="A220" s="4" t="s">
        <v>766</v>
      </c>
      <c r="B220" s="4" t="s">
        <v>901</v>
      </c>
      <c r="C220" s="4" t="str">
        <f t="shared" si="9"/>
        <v xml:space="preserve">Mangeshi Jupiter Ready To Move 1 &amp; 2BHK </v>
      </c>
      <c r="D220" s="4" t="str">
        <f t="shared" ca="1" si="10"/>
        <v>Last 365 Days</v>
      </c>
      <c r="E220" s="13">
        <v>45839</v>
      </c>
      <c r="F220" s="23">
        <f t="shared" si="11"/>
        <v>45869</v>
      </c>
      <c r="G220" s="5">
        <v>53</v>
      </c>
      <c r="H220" s="5">
        <v>700</v>
      </c>
      <c r="I220" s="6">
        <v>1.8271999999999999</v>
      </c>
      <c r="J220" s="5">
        <v>1</v>
      </c>
      <c r="K220" s="7">
        <v>0.40100000000000002</v>
      </c>
      <c r="L220" s="5">
        <v>1834</v>
      </c>
      <c r="M220" s="6">
        <v>1.42</v>
      </c>
    </row>
    <row r="221" spans="1:13" x14ac:dyDescent="0.35">
      <c r="A221" s="4" t="s">
        <v>591</v>
      </c>
      <c r="B221" s="4" t="s">
        <v>592</v>
      </c>
      <c r="C221" s="4" t="str">
        <f t="shared" si="9"/>
        <v xml:space="preserve">Titwala Me Sirf 17 Lakh Me Mil Raha hai </v>
      </c>
      <c r="D221" s="4" t="str">
        <f t="shared" ca="1" si="10"/>
        <v>Last 365 Days</v>
      </c>
      <c r="E221" s="13">
        <v>45837</v>
      </c>
      <c r="F221" s="23">
        <f t="shared" si="11"/>
        <v>45838</v>
      </c>
      <c r="G221" s="5">
        <v>103</v>
      </c>
      <c r="H221" s="5">
        <v>852</v>
      </c>
      <c r="I221" s="6">
        <v>12.446999999999999</v>
      </c>
      <c r="J221" s="5">
        <v>4</v>
      </c>
      <c r="K221" s="7">
        <v>39.045000000000002</v>
      </c>
      <c r="L221" s="5">
        <v>8565</v>
      </c>
      <c r="M221" s="6">
        <v>6.82</v>
      </c>
    </row>
    <row r="222" spans="1:13" x14ac:dyDescent="0.35">
      <c r="A222" s="4" t="s">
        <v>610</v>
      </c>
      <c r="B222" s="4" t="s">
        <v>611</v>
      </c>
      <c r="C222" s="4" t="str">
        <f t="shared" si="9"/>
        <v xml:space="preserve">Call 7021988393 | Rustomjee Urban Woods </v>
      </c>
      <c r="D222" s="4" t="str">
        <f t="shared" ca="1" si="10"/>
        <v>Last 365 Days</v>
      </c>
      <c r="E222" s="13">
        <v>45837</v>
      </c>
      <c r="F222" s="23">
        <f t="shared" si="11"/>
        <v>45838</v>
      </c>
      <c r="G222" s="5">
        <v>31</v>
      </c>
      <c r="H222" s="5">
        <v>843</v>
      </c>
      <c r="I222" s="6">
        <v>4.2427000000000001</v>
      </c>
      <c r="J222" s="5">
        <v>2</v>
      </c>
      <c r="K222" s="7">
        <v>0.93400000000000005</v>
      </c>
      <c r="L222" s="5">
        <v>3157</v>
      </c>
      <c r="M222" s="6">
        <v>3.9</v>
      </c>
    </row>
    <row r="223" spans="1:13" x14ac:dyDescent="0.35">
      <c r="A223" s="4" t="s">
        <v>225</v>
      </c>
      <c r="B223" s="4" t="s">
        <v>226</v>
      </c>
      <c r="C223" s="4" t="str">
        <f t="shared" si="9"/>
        <v>Call 7021988393 | Badlapur Me Budget 2BH</v>
      </c>
      <c r="D223" s="4" t="str">
        <f t="shared" ca="1" si="10"/>
        <v>Last 365 Days</v>
      </c>
      <c r="E223" s="13">
        <v>45836</v>
      </c>
      <c r="F223" s="23">
        <f t="shared" si="11"/>
        <v>45838</v>
      </c>
      <c r="G223" s="5">
        <v>53</v>
      </c>
      <c r="H223" s="5">
        <v>1547</v>
      </c>
      <c r="I223" s="6">
        <v>3.3892000000000002</v>
      </c>
      <c r="J223" s="5">
        <v>3</v>
      </c>
      <c r="K223" s="7">
        <v>0.72699999999999998</v>
      </c>
      <c r="L223" s="5">
        <v>2068</v>
      </c>
      <c r="M223" s="6">
        <v>2.1800000000000002</v>
      </c>
    </row>
    <row r="224" spans="1:13" x14ac:dyDescent="0.35">
      <c r="A224" s="4" t="s">
        <v>298</v>
      </c>
      <c r="B224" s="4" t="s">
        <v>299</v>
      </c>
      <c r="C224" s="4" t="str">
        <f t="shared" si="9"/>
        <v>Call 7021988393 | Dombivli Me Nature Sur</v>
      </c>
      <c r="D224" s="4" t="str">
        <f t="shared" ca="1" si="10"/>
        <v>Last 365 Days</v>
      </c>
      <c r="E224" s="13">
        <v>45836</v>
      </c>
      <c r="F224" s="23">
        <f t="shared" si="11"/>
        <v>45838</v>
      </c>
      <c r="G224" s="5">
        <v>56</v>
      </c>
      <c r="H224" s="5">
        <v>1300</v>
      </c>
      <c r="I224" s="6">
        <v>3.6398999999999999</v>
      </c>
      <c r="J224" s="5">
        <v>1</v>
      </c>
      <c r="K224" s="7">
        <v>0.51900000000000002</v>
      </c>
      <c r="L224" s="5">
        <v>2510</v>
      </c>
      <c r="M224" s="6">
        <v>4.7</v>
      </c>
    </row>
    <row r="225" spans="1:13" x14ac:dyDescent="0.35">
      <c r="A225" s="4" t="s">
        <v>702</v>
      </c>
      <c r="B225" s="4" t="s">
        <v>703</v>
      </c>
      <c r="C225" s="4" t="str">
        <f t="shared" si="9"/>
        <v>Mangeshi World 2BHK Sample Flat Tour | S</v>
      </c>
      <c r="D225" s="4" t="str">
        <f t="shared" ca="1" si="10"/>
        <v>Last 365 Days</v>
      </c>
      <c r="E225" s="13">
        <v>45835</v>
      </c>
      <c r="F225" s="23">
        <f t="shared" si="11"/>
        <v>45838</v>
      </c>
      <c r="G225" s="5">
        <v>269</v>
      </c>
      <c r="H225" s="5">
        <v>771</v>
      </c>
      <c r="I225" s="6">
        <v>20.567900000000002</v>
      </c>
      <c r="J225" s="5">
        <v>1</v>
      </c>
      <c r="K225" s="7">
        <v>3.1930000000000001</v>
      </c>
      <c r="L225" s="5">
        <v>5982</v>
      </c>
      <c r="M225" s="6">
        <v>11.03</v>
      </c>
    </row>
    <row r="226" spans="1:13" x14ac:dyDescent="0.35">
      <c r="A226" s="4" t="s">
        <v>416</v>
      </c>
      <c r="B226" s="4" t="s">
        <v>962</v>
      </c>
      <c r="C226" s="4" t="str">
        <f t="shared" si="9"/>
        <v>Call 7021988393 | Affordable Luxury Life</v>
      </c>
      <c r="D226" s="4" t="str">
        <f t="shared" ca="1" si="10"/>
        <v>Last 365 Days</v>
      </c>
      <c r="E226" s="13">
        <v>45834</v>
      </c>
      <c r="F226" s="23">
        <f t="shared" si="11"/>
        <v>45838</v>
      </c>
      <c r="G226" s="5">
        <v>58</v>
      </c>
      <c r="H226" s="5">
        <v>1090</v>
      </c>
      <c r="I226" s="6">
        <v>2.6573000000000002</v>
      </c>
      <c r="J226" s="5">
        <v>2</v>
      </c>
      <c r="K226" s="7">
        <v>0.49</v>
      </c>
      <c r="L226" s="5">
        <v>2288</v>
      </c>
      <c r="M226" s="6">
        <v>4.0199999999999996</v>
      </c>
    </row>
    <row r="227" spans="1:13" x14ac:dyDescent="0.35">
      <c r="A227" s="4" t="s">
        <v>710</v>
      </c>
      <c r="B227" s="4" t="s">
        <v>711</v>
      </c>
      <c r="C227" s="4" t="str">
        <f t="shared" si="9"/>
        <v>Call 7021988393 | Affordable 2BHK Luxury</v>
      </c>
      <c r="D227" s="4" t="str">
        <f t="shared" ca="1" si="10"/>
        <v>Last 365 Days</v>
      </c>
      <c r="E227" s="13">
        <v>45834</v>
      </c>
      <c r="F227" s="23">
        <f t="shared" si="11"/>
        <v>45838</v>
      </c>
      <c r="G227" s="5">
        <v>48</v>
      </c>
      <c r="H227" s="5">
        <v>754</v>
      </c>
      <c r="I227" s="6">
        <v>1.6089</v>
      </c>
      <c r="J227" s="5">
        <v>1</v>
      </c>
      <c r="K227" s="7">
        <v>0.28999999999999998</v>
      </c>
      <c r="L227" s="5">
        <v>2009</v>
      </c>
      <c r="M227" s="6">
        <v>4.08</v>
      </c>
    </row>
    <row r="228" spans="1:13" x14ac:dyDescent="0.35">
      <c r="A228" s="4" t="s">
        <v>128</v>
      </c>
      <c r="B228" s="4" t="s">
        <v>129</v>
      </c>
      <c r="C228" s="4" t="str">
        <f t="shared" si="9"/>
        <v>Call 7021988393 | 1 &amp; 2 BHK Flats in Kal</v>
      </c>
      <c r="D228" s="4" t="str">
        <f t="shared" ca="1" si="10"/>
        <v>Last 365 Days</v>
      </c>
      <c r="E228" s="13">
        <v>45832</v>
      </c>
      <c r="F228" s="23">
        <f t="shared" si="11"/>
        <v>45838</v>
      </c>
      <c r="G228" s="5">
        <v>55</v>
      </c>
      <c r="H228" s="5">
        <v>2109</v>
      </c>
      <c r="I228" s="6">
        <v>7.1490999999999998</v>
      </c>
      <c r="J228" s="5">
        <v>0</v>
      </c>
      <c r="K228" s="7">
        <v>0.65700000000000003</v>
      </c>
      <c r="L228" s="5">
        <v>4867</v>
      </c>
      <c r="M228" s="6">
        <v>3.6</v>
      </c>
    </row>
    <row r="229" spans="1:13" x14ac:dyDescent="0.35">
      <c r="A229" s="4" t="s">
        <v>391</v>
      </c>
      <c r="B229" s="4" t="s">
        <v>392</v>
      </c>
      <c r="C229" s="4" t="str">
        <f t="shared" si="9"/>
        <v>Krishna Trident 2BHK Sample Flat | Premi</v>
      </c>
      <c r="D229" s="4" t="str">
        <f t="shared" ca="1" si="10"/>
        <v>Last 365 Days</v>
      </c>
      <c r="E229" s="13">
        <v>45830</v>
      </c>
      <c r="F229" s="23">
        <f t="shared" si="11"/>
        <v>45838</v>
      </c>
      <c r="G229" s="5">
        <v>50</v>
      </c>
      <c r="H229" s="5">
        <v>1142</v>
      </c>
      <c r="I229" s="6">
        <v>5.5730000000000004</v>
      </c>
      <c r="J229" s="5">
        <v>2</v>
      </c>
      <c r="K229" s="7">
        <v>0.49099999999999999</v>
      </c>
      <c r="L229" s="5">
        <v>4201</v>
      </c>
      <c r="M229" s="6">
        <v>4.1900000000000004</v>
      </c>
    </row>
    <row r="230" spans="1:13" x14ac:dyDescent="0.35">
      <c r="A230" s="4" t="s">
        <v>126</v>
      </c>
      <c r="B230" s="4" t="s">
        <v>127</v>
      </c>
      <c r="C230" s="4" t="str">
        <f t="shared" si="9"/>
        <v>Call 7021988393 | Kohinoor Uptown Kalyan</v>
      </c>
      <c r="D230" s="4" t="str">
        <f t="shared" ca="1" si="10"/>
        <v>Last 365 Days</v>
      </c>
      <c r="E230" s="13">
        <v>45829</v>
      </c>
      <c r="F230" s="23">
        <f t="shared" si="11"/>
        <v>45838</v>
      </c>
      <c r="G230" s="5">
        <v>69</v>
      </c>
      <c r="H230" s="5">
        <v>2135</v>
      </c>
      <c r="I230" s="6">
        <v>12.779299999999999</v>
      </c>
      <c r="J230" s="5">
        <v>5</v>
      </c>
      <c r="K230" s="7">
        <v>1.01</v>
      </c>
      <c r="L230" s="5">
        <v>7965</v>
      </c>
      <c r="M230" s="6">
        <v>6.74</v>
      </c>
    </row>
    <row r="231" spans="1:13" x14ac:dyDescent="0.35">
      <c r="A231" s="4" t="s">
        <v>205</v>
      </c>
      <c r="B231" s="4" t="s">
        <v>206</v>
      </c>
      <c r="C231" s="4" t="str">
        <f t="shared" si="9"/>
        <v>Call 7021988393 | Budget Flats in Thakur</v>
      </c>
      <c r="D231" s="4" t="str">
        <f t="shared" ca="1" si="10"/>
        <v>Last 365 Days</v>
      </c>
      <c r="E231" s="13">
        <v>45829</v>
      </c>
      <c r="F231" s="23">
        <f t="shared" si="11"/>
        <v>45838</v>
      </c>
      <c r="G231" s="5">
        <v>35</v>
      </c>
      <c r="H231" s="5">
        <v>1594</v>
      </c>
      <c r="I231" s="6">
        <v>4.2256999999999998</v>
      </c>
      <c r="J231" s="5">
        <v>3</v>
      </c>
      <c r="K231" s="7">
        <v>0.73799999999999999</v>
      </c>
      <c r="L231" s="5">
        <v>3527</v>
      </c>
      <c r="M231" s="6">
        <v>6.27</v>
      </c>
    </row>
    <row r="232" spans="1:13" x14ac:dyDescent="0.35">
      <c r="A232" s="4" t="s">
        <v>380</v>
      </c>
      <c r="B232" s="4" t="s">
        <v>381</v>
      </c>
      <c r="C232" s="4" t="str">
        <f t="shared" si="9"/>
        <v>Elite Galaxy Dombivli | Luxury Budget Pr</v>
      </c>
      <c r="D232" s="4" t="str">
        <f t="shared" ca="1" si="10"/>
        <v>Last 365 Days</v>
      </c>
      <c r="E232" s="13">
        <v>45828</v>
      </c>
      <c r="F232" s="23">
        <f t="shared" si="11"/>
        <v>45838</v>
      </c>
      <c r="G232" s="5">
        <v>56</v>
      </c>
      <c r="H232" s="5">
        <v>1160</v>
      </c>
      <c r="I232" s="6">
        <v>2.4861</v>
      </c>
      <c r="J232" s="5">
        <v>2</v>
      </c>
      <c r="K232" s="7">
        <v>0.51700000000000002</v>
      </c>
      <c r="L232" s="5">
        <v>2034</v>
      </c>
      <c r="M232" s="6">
        <v>4.97</v>
      </c>
    </row>
    <row r="233" spans="1:13" x14ac:dyDescent="0.35">
      <c r="A233" s="4" t="s">
        <v>411</v>
      </c>
      <c r="B233" s="4" t="s">
        <v>412</v>
      </c>
      <c r="C233" s="4" t="str">
        <f t="shared" si="9"/>
        <v>Kalyan Dombivli Railway Line Me Behtaree</v>
      </c>
      <c r="D233" s="4" t="str">
        <f t="shared" ca="1" si="10"/>
        <v>Last 365 Days</v>
      </c>
      <c r="E233" s="13">
        <v>45828</v>
      </c>
      <c r="F233" s="23">
        <f t="shared" si="11"/>
        <v>45838</v>
      </c>
      <c r="G233" s="5">
        <v>47</v>
      </c>
      <c r="H233" s="5">
        <v>1095</v>
      </c>
      <c r="I233" s="6">
        <v>2.7791000000000001</v>
      </c>
      <c r="J233" s="5">
        <v>2</v>
      </c>
      <c r="K233" s="7">
        <v>0.49</v>
      </c>
      <c r="L233" s="5">
        <v>5815</v>
      </c>
      <c r="M233" s="6">
        <v>2.13</v>
      </c>
    </row>
    <row r="234" spans="1:13" x14ac:dyDescent="0.35">
      <c r="A234" s="4" t="s">
        <v>612</v>
      </c>
      <c r="B234" s="4" t="s">
        <v>613</v>
      </c>
      <c r="C234" s="4" t="str">
        <f t="shared" si="9"/>
        <v>White Square Kalyan Sample Flat | 2, 3 &amp;</v>
      </c>
      <c r="D234" s="4" t="str">
        <f t="shared" ca="1" si="10"/>
        <v>Last 365 Days</v>
      </c>
      <c r="E234" s="13">
        <v>45828</v>
      </c>
      <c r="F234" s="23">
        <f t="shared" si="11"/>
        <v>45838</v>
      </c>
      <c r="G234" s="5">
        <v>215</v>
      </c>
      <c r="H234" s="5">
        <v>841</v>
      </c>
      <c r="I234" s="6">
        <v>10.0595</v>
      </c>
      <c r="J234" s="5">
        <v>1</v>
      </c>
      <c r="K234" s="7">
        <v>51.703000000000003</v>
      </c>
      <c r="L234" s="5">
        <v>2650</v>
      </c>
      <c r="M234" s="6">
        <v>6.57</v>
      </c>
    </row>
    <row r="235" spans="1:13" x14ac:dyDescent="0.35">
      <c r="A235" s="4" t="s">
        <v>706</v>
      </c>
      <c r="B235" s="4" t="s">
        <v>707</v>
      </c>
      <c r="C235" s="4" t="str">
        <f t="shared" si="9"/>
        <v>The Green Sapphirre Kalyan | Township Dr</v>
      </c>
      <c r="D235" s="4" t="str">
        <f t="shared" ca="1" si="10"/>
        <v>Last 365 Days</v>
      </c>
      <c r="E235" s="13">
        <v>45828</v>
      </c>
      <c r="F235" s="23">
        <f t="shared" si="11"/>
        <v>45838</v>
      </c>
      <c r="G235" s="5">
        <v>166</v>
      </c>
      <c r="H235" s="5">
        <v>761</v>
      </c>
      <c r="I235" s="6">
        <v>8.1545000000000005</v>
      </c>
      <c r="J235" s="5">
        <v>1</v>
      </c>
      <c r="K235" s="7">
        <v>20.838999999999999</v>
      </c>
      <c r="L235" s="5">
        <v>4245</v>
      </c>
      <c r="M235" s="6">
        <v>5.18</v>
      </c>
    </row>
    <row r="236" spans="1:13" x14ac:dyDescent="0.35">
      <c r="A236" s="4" t="s">
        <v>137</v>
      </c>
      <c r="B236" s="4" t="s">
        <v>138</v>
      </c>
      <c r="C236" s="4" t="str">
        <f t="shared" si="9"/>
        <v>Rustomjee 3BHK Sample Flat Tour | Luxury</v>
      </c>
      <c r="D236" s="4" t="str">
        <f t="shared" ca="1" si="10"/>
        <v>Last 365 Days</v>
      </c>
      <c r="E236" s="13">
        <v>45827</v>
      </c>
      <c r="F236" s="23">
        <f t="shared" si="11"/>
        <v>45838</v>
      </c>
      <c r="G236" s="5">
        <v>33</v>
      </c>
      <c r="H236" s="5">
        <v>1952</v>
      </c>
      <c r="I236" s="6">
        <v>3.4558</v>
      </c>
      <c r="J236" s="5">
        <v>1</v>
      </c>
      <c r="K236" s="7">
        <v>0.86699999999999999</v>
      </c>
      <c r="L236" s="5">
        <v>3767</v>
      </c>
      <c r="M236" s="6">
        <v>2.65</v>
      </c>
    </row>
    <row r="237" spans="1:13" x14ac:dyDescent="0.35">
      <c r="A237" s="4" t="s">
        <v>139</v>
      </c>
      <c r="B237" s="4" t="s">
        <v>932</v>
      </c>
      <c r="C237" s="4" t="str">
        <f t="shared" si="9"/>
        <v>7021988393The Green Sapphirre - Kalyan</v>
      </c>
      <c r="D237" s="4" t="str">
        <f t="shared" ca="1" si="10"/>
        <v>Last 365 Days</v>
      </c>
      <c r="E237" s="13">
        <v>45827</v>
      </c>
      <c r="F237" s="23">
        <f t="shared" si="11"/>
        <v>45838</v>
      </c>
      <c r="G237" s="5">
        <v>39</v>
      </c>
      <c r="H237" s="5">
        <v>1938</v>
      </c>
      <c r="I237" s="6">
        <v>6.8402000000000003</v>
      </c>
      <c r="J237" s="5">
        <v>3</v>
      </c>
      <c r="K237" s="7">
        <v>0.748</v>
      </c>
      <c r="L237" s="5">
        <v>12534</v>
      </c>
      <c r="M237" s="6">
        <v>4.33</v>
      </c>
    </row>
    <row r="238" spans="1:13" x14ac:dyDescent="0.35">
      <c r="A238" s="4" t="s">
        <v>342</v>
      </c>
      <c r="B238" s="4" t="s">
        <v>343</v>
      </c>
      <c r="C238" s="4" t="str">
        <f t="shared" si="9"/>
        <v>Birla Vanya Kalyan | Luxurious Life Desi</v>
      </c>
      <c r="D238" s="4" t="str">
        <f t="shared" ca="1" si="10"/>
        <v>Last 365 Days</v>
      </c>
      <c r="E238" s="13">
        <v>45827</v>
      </c>
      <c r="F238" s="23">
        <f t="shared" si="11"/>
        <v>45838</v>
      </c>
      <c r="G238" s="5">
        <v>251</v>
      </c>
      <c r="H238" s="5">
        <v>1224</v>
      </c>
      <c r="I238" s="6">
        <v>34.3812</v>
      </c>
      <c r="J238" s="5">
        <v>2</v>
      </c>
      <c r="K238" s="7">
        <v>148.30500000000001</v>
      </c>
      <c r="L238" s="5">
        <v>7850</v>
      </c>
      <c r="M238" s="6">
        <v>13.21</v>
      </c>
    </row>
    <row r="239" spans="1:13" x14ac:dyDescent="0.35">
      <c r="A239" s="4" t="s">
        <v>602</v>
      </c>
      <c r="B239" s="4" t="s">
        <v>603</v>
      </c>
      <c r="C239" s="4" t="str">
        <f t="shared" si="9"/>
        <v xml:space="preserve">Dombivli Ka Prime Project | Lodha Crown </v>
      </c>
      <c r="D239" s="4" t="str">
        <f t="shared" ca="1" si="10"/>
        <v>Last 365 Days</v>
      </c>
      <c r="E239" s="13">
        <v>45826</v>
      </c>
      <c r="F239" s="23">
        <f t="shared" si="11"/>
        <v>45838</v>
      </c>
      <c r="G239" s="5">
        <v>52</v>
      </c>
      <c r="H239" s="5">
        <v>845</v>
      </c>
      <c r="I239" s="6">
        <v>1.7697000000000001</v>
      </c>
      <c r="J239" s="5">
        <v>1</v>
      </c>
      <c r="K239" s="7">
        <v>0.223</v>
      </c>
      <c r="L239" s="5">
        <v>3631</v>
      </c>
      <c r="M239" s="6">
        <v>2.42</v>
      </c>
    </row>
    <row r="240" spans="1:13" x14ac:dyDescent="0.35">
      <c r="A240" s="4" t="s">
        <v>221</v>
      </c>
      <c r="B240" s="4" t="s">
        <v>222</v>
      </c>
      <c r="C240" s="4" t="str">
        <f t="shared" si="9"/>
        <v xml:space="preserve">Kalyan ka Naya Khadakpada | Premium 1 &amp; </v>
      </c>
      <c r="D240" s="4" t="str">
        <f t="shared" ca="1" si="10"/>
        <v>Last 365 Days</v>
      </c>
      <c r="E240" s="13">
        <v>45821</v>
      </c>
      <c r="F240" s="23">
        <f t="shared" si="11"/>
        <v>45838</v>
      </c>
      <c r="G240" s="5">
        <v>50</v>
      </c>
      <c r="H240" s="5">
        <v>1561</v>
      </c>
      <c r="I240" s="6">
        <v>4.8746999999999998</v>
      </c>
      <c r="J240" s="5">
        <v>4</v>
      </c>
      <c r="K240" s="7">
        <v>0.85399999999999998</v>
      </c>
      <c r="L240" s="5">
        <v>6003</v>
      </c>
      <c r="M240" s="6">
        <v>6.01</v>
      </c>
    </row>
    <row r="241" spans="1:13" x14ac:dyDescent="0.35">
      <c r="A241" s="4" t="s">
        <v>443</v>
      </c>
      <c r="B241" s="4" t="s">
        <v>444</v>
      </c>
      <c r="C241" s="4" t="str">
        <f t="shared" si="9"/>
        <v>Call 7021988393 | Badlapur ka Most Await</v>
      </c>
      <c r="D241" s="4" t="str">
        <f t="shared" ca="1" si="10"/>
        <v>Last 365 Days</v>
      </c>
      <c r="E241" s="13">
        <v>45819</v>
      </c>
      <c r="F241" s="23">
        <f t="shared" si="11"/>
        <v>45838</v>
      </c>
      <c r="G241" s="5">
        <v>29</v>
      </c>
      <c r="H241" s="5">
        <v>1048</v>
      </c>
      <c r="I241" s="6">
        <v>1.9518</v>
      </c>
      <c r="J241" s="5">
        <v>5</v>
      </c>
      <c r="K241" s="7">
        <v>0.36299999999999999</v>
      </c>
      <c r="L241" s="5">
        <v>4849</v>
      </c>
      <c r="M241" s="6">
        <v>3.98</v>
      </c>
    </row>
    <row r="242" spans="1:13" x14ac:dyDescent="0.35">
      <c r="A242" s="4" t="s">
        <v>526</v>
      </c>
      <c r="B242" s="4" t="s">
        <v>527</v>
      </c>
      <c r="C242" s="4" t="str">
        <f t="shared" si="9"/>
        <v>Dombivli Ka Shaandar Real Estate Project</v>
      </c>
      <c r="D242" s="4" t="str">
        <f t="shared" ca="1" si="10"/>
        <v>Last 365 Days</v>
      </c>
      <c r="E242" s="13">
        <v>45819</v>
      </c>
      <c r="F242" s="23">
        <f t="shared" si="11"/>
        <v>45838</v>
      </c>
      <c r="G242" s="5">
        <v>306</v>
      </c>
      <c r="H242" s="5">
        <v>941</v>
      </c>
      <c r="I242" s="6">
        <v>25.421399999999998</v>
      </c>
      <c r="J242" s="5">
        <v>6</v>
      </c>
      <c r="K242" s="7">
        <v>56.015999999999998</v>
      </c>
      <c r="L242" s="5">
        <v>8818</v>
      </c>
      <c r="M242" s="6">
        <v>9</v>
      </c>
    </row>
    <row r="243" spans="1:13" x14ac:dyDescent="0.35">
      <c r="A243" s="4" t="s">
        <v>451</v>
      </c>
      <c r="B243" s="4" t="s">
        <v>452</v>
      </c>
      <c r="C243" s="4" t="str">
        <f t="shared" si="9"/>
        <v>Call 7021988393 | 1, 2 &amp; 3BHK Luxury Fla</v>
      </c>
      <c r="D243" s="4" t="str">
        <f t="shared" ca="1" si="10"/>
        <v>Last 365 Days</v>
      </c>
      <c r="E243" s="13">
        <v>45818</v>
      </c>
      <c r="F243" s="23">
        <f t="shared" si="11"/>
        <v>45838</v>
      </c>
      <c r="G243" s="5">
        <v>49</v>
      </c>
      <c r="H243" s="5">
        <v>1040</v>
      </c>
      <c r="I243" s="6">
        <v>3.5310000000000001</v>
      </c>
      <c r="J243" s="5">
        <v>1</v>
      </c>
      <c r="K243" s="7">
        <v>0.54100000000000004</v>
      </c>
      <c r="L243" s="5">
        <v>3540</v>
      </c>
      <c r="M243" s="6">
        <v>3.62</v>
      </c>
    </row>
    <row r="244" spans="1:13" x14ac:dyDescent="0.35">
      <c r="A244" s="4" t="s">
        <v>573</v>
      </c>
      <c r="B244" s="4" t="s">
        <v>938</v>
      </c>
      <c r="C244" s="4" t="str">
        <f t="shared" si="9"/>
        <v xml:space="preserve">Kapleshwara Residency Dombivli - Sample </v>
      </c>
      <c r="D244" s="4" t="str">
        <f t="shared" ca="1" si="10"/>
        <v>Last 365 Days</v>
      </c>
      <c r="E244" s="13">
        <v>45818</v>
      </c>
      <c r="F244" s="23">
        <f t="shared" si="11"/>
        <v>45838</v>
      </c>
      <c r="G244" s="5">
        <v>131</v>
      </c>
      <c r="H244" s="5">
        <v>887</v>
      </c>
      <c r="I244" s="6">
        <v>15.618499999999999</v>
      </c>
      <c r="J244" s="5">
        <v>2</v>
      </c>
      <c r="K244" s="7">
        <v>63.180999999999997</v>
      </c>
      <c r="L244" s="5">
        <v>10156</v>
      </c>
      <c r="M244" s="6">
        <v>7.79</v>
      </c>
    </row>
    <row r="245" spans="1:13" x14ac:dyDescent="0.35">
      <c r="A245" s="4" t="s">
        <v>675</v>
      </c>
      <c r="B245" s="4" t="s">
        <v>975</v>
      </c>
      <c r="C245" s="4" t="str">
        <f t="shared" si="9"/>
        <v>Kapleshwara ResidencyDrone View | Spaci</v>
      </c>
      <c r="D245" s="4" t="str">
        <f t="shared" ca="1" si="10"/>
        <v>Last 365 Days</v>
      </c>
      <c r="E245" s="13">
        <v>45815</v>
      </c>
      <c r="F245" s="23">
        <f t="shared" si="11"/>
        <v>45838</v>
      </c>
      <c r="G245" s="5">
        <v>142</v>
      </c>
      <c r="H245" s="5">
        <v>792</v>
      </c>
      <c r="I245" s="6">
        <v>14.923400000000001</v>
      </c>
      <c r="J245" s="5">
        <v>4</v>
      </c>
      <c r="K245" s="7">
        <v>60.204000000000001</v>
      </c>
      <c r="L245" s="5">
        <v>11292</v>
      </c>
      <c r="M245" s="6">
        <v>5.7</v>
      </c>
    </row>
    <row r="246" spans="1:13" x14ac:dyDescent="0.35">
      <c r="A246" s="4" t="s">
        <v>284</v>
      </c>
      <c r="B246" s="4" t="s">
        <v>285</v>
      </c>
      <c r="C246" s="4" t="str">
        <f t="shared" si="9"/>
        <v>Call 7021988393 | Dombivli East ka Bramh</v>
      </c>
      <c r="D246" s="4" t="str">
        <f t="shared" ca="1" si="10"/>
        <v>Last 365 Days</v>
      </c>
      <c r="E246" s="13">
        <v>45809</v>
      </c>
      <c r="F246" s="23">
        <f t="shared" si="11"/>
        <v>45838</v>
      </c>
      <c r="G246" s="5">
        <v>49</v>
      </c>
      <c r="H246" s="5">
        <v>1337</v>
      </c>
      <c r="I246" s="6">
        <v>4.1083999999999996</v>
      </c>
      <c r="J246" s="5">
        <v>9</v>
      </c>
      <c r="K246" s="7">
        <v>0.50800000000000001</v>
      </c>
      <c r="L246" s="5">
        <v>6230</v>
      </c>
      <c r="M246" s="6">
        <v>4.3499999999999996</v>
      </c>
    </row>
    <row r="247" spans="1:13" x14ac:dyDescent="0.35">
      <c r="A247" s="4" t="s">
        <v>185</v>
      </c>
      <c r="B247" s="4" t="s">
        <v>186</v>
      </c>
      <c r="C247" s="4" t="str">
        <f t="shared" si="9"/>
        <v>Call 7021988393 | Luxury Project by Godr</v>
      </c>
      <c r="D247" s="4" t="str">
        <f t="shared" ca="1" si="10"/>
        <v>Last 365 Days</v>
      </c>
      <c r="E247" s="13">
        <v>45808</v>
      </c>
      <c r="F247" s="23">
        <f t="shared" si="11"/>
        <v>45808</v>
      </c>
      <c r="G247" s="5">
        <v>59</v>
      </c>
      <c r="H247" s="5">
        <v>1710</v>
      </c>
      <c r="I247" s="6">
        <v>5.1859000000000002</v>
      </c>
      <c r="J247" s="5">
        <v>9</v>
      </c>
      <c r="K247" s="7">
        <v>0.754</v>
      </c>
      <c r="L247" s="5">
        <v>4158</v>
      </c>
      <c r="M247" s="6">
        <v>4.18</v>
      </c>
    </row>
    <row r="248" spans="1:13" x14ac:dyDescent="0.35">
      <c r="A248" s="4" t="s">
        <v>455</v>
      </c>
      <c r="B248" s="4" t="s">
        <v>456</v>
      </c>
      <c r="C248" s="4" t="str">
        <f t="shared" si="9"/>
        <v>Call 7021988393 | Affordable Luxury Flat</v>
      </c>
      <c r="D248" s="4" t="str">
        <f t="shared" ca="1" si="10"/>
        <v>Last 365 Days</v>
      </c>
      <c r="E248" s="13">
        <v>45807</v>
      </c>
      <c r="F248" s="23">
        <f t="shared" si="11"/>
        <v>45808</v>
      </c>
      <c r="G248" s="5">
        <v>24</v>
      </c>
      <c r="H248" s="5">
        <v>1030</v>
      </c>
      <c r="I248" s="6">
        <v>2.1798999999999999</v>
      </c>
      <c r="J248" s="5">
        <v>3</v>
      </c>
      <c r="K248" s="7">
        <v>0.33300000000000002</v>
      </c>
      <c r="L248" s="5">
        <v>5632</v>
      </c>
      <c r="M248" s="6">
        <v>3.53</v>
      </c>
    </row>
    <row r="249" spans="1:13" x14ac:dyDescent="0.35">
      <c r="A249" s="4" t="s">
        <v>216</v>
      </c>
      <c r="B249" s="4" t="s">
        <v>935</v>
      </c>
      <c r="C249" s="4" t="str">
        <f t="shared" si="9"/>
        <v>Kalyan ka BIG BOSS - Krishna Trident|70</v>
      </c>
      <c r="D249" s="4" t="str">
        <f t="shared" ca="1" si="10"/>
        <v>Last 365 Days</v>
      </c>
      <c r="E249" s="13">
        <v>45802</v>
      </c>
      <c r="F249" s="23">
        <f t="shared" si="11"/>
        <v>45808</v>
      </c>
      <c r="G249" s="5">
        <v>50</v>
      </c>
      <c r="H249" s="5">
        <v>1571</v>
      </c>
      <c r="I249" s="6">
        <v>4.5435999999999996</v>
      </c>
      <c r="J249" s="5">
        <v>13</v>
      </c>
      <c r="K249" s="7">
        <v>0.47899999999999998</v>
      </c>
      <c r="L249" s="5">
        <v>12219</v>
      </c>
      <c r="M249" s="6">
        <v>2.14</v>
      </c>
    </row>
    <row r="250" spans="1:13" x14ac:dyDescent="0.35">
      <c r="A250" s="4" t="s">
        <v>338</v>
      </c>
      <c r="B250" s="4" t="s">
        <v>339</v>
      </c>
      <c r="C250" s="4" t="str">
        <f t="shared" si="9"/>
        <v>Call 7021988393 | Spacious Luxury 2BHK F</v>
      </c>
      <c r="D250" s="4" t="str">
        <f t="shared" ca="1" si="10"/>
        <v>Last 365 Days</v>
      </c>
      <c r="E250" s="13">
        <v>45794</v>
      </c>
      <c r="F250" s="23">
        <f t="shared" si="11"/>
        <v>45808</v>
      </c>
      <c r="G250" s="5">
        <v>37</v>
      </c>
      <c r="H250" s="5">
        <v>1232</v>
      </c>
      <c r="I250" s="6">
        <v>3.5457000000000001</v>
      </c>
      <c r="J250" s="5">
        <v>12</v>
      </c>
      <c r="K250" s="7">
        <v>0.58699999999999997</v>
      </c>
      <c r="L250" s="5">
        <v>4555</v>
      </c>
      <c r="M250" s="6">
        <v>3.67</v>
      </c>
    </row>
    <row r="251" spans="1:13" x14ac:dyDescent="0.35">
      <c r="A251" s="4" t="s">
        <v>333</v>
      </c>
      <c r="B251" s="4" t="s">
        <v>950</v>
      </c>
      <c r="C251" s="4" t="str">
        <f t="shared" si="9"/>
        <v xml:space="preserve">Kalyan East 1 BHKfor Sale | 7021988393 </v>
      </c>
      <c r="D251" s="4" t="str">
        <f t="shared" ca="1" si="10"/>
        <v>Last 365 Days</v>
      </c>
      <c r="E251" s="13">
        <v>45792</v>
      </c>
      <c r="F251" s="23">
        <f t="shared" si="11"/>
        <v>45808</v>
      </c>
      <c r="G251" s="5">
        <v>50</v>
      </c>
      <c r="H251" s="5">
        <v>1241</v>
      </c>
      <c r="I251" s="6">
        <v>4.0517000000000003</v>
      </c>
      <c r="J251" s="5">
        <v>15</v>
      </c>
      <c r="K251" s="7">
        <v>0.42799999999999999</v>
      </c>
      <c r="L251" s="5">
        <v>4801</v>
      </c>
      <c r="M251" s="6">
        <v>3.87</v>
      </c>
    </row>
    <row r="252" spans="1:13" x14ac:dyDescent="0.35">
      <c r="A252" s="4" t="s">
        <v>394</v>
      </c>
      <c r="B252" s="4" t="s">
        <v>395</v>
      </c>
      <c r="C252" s="4" t="str">
        <f t="shared" si="9"/>
        <v>Call 7021988393 | 2BHK Luxury Flat in Ka</v>
      </c>
      <c r="D252" s="4" t="str">
        <f t="shared" ca="1" si="10"/>
        <v>Last 365 Days</v>
      </c>
      <c r="E252" s="13">
        <v>45791</v>
      </c>
      <c r="F252" s="23">
        <f t="shared" si="11"/>
        <v>45808</v>
      </c>
      <c r="G252" s="5">
        <v>37</v>
      </c>
      <c r="H252" s="5">
        <v>1140</v>
      </c>
      <c r="I252" s="6">
        <v>2.7564000000000002</v>
      </c>
      <c r="J252" s="5">
        <v>11</v>
      </c>
      <c r="K252" s="7">
        <v>0.50800000000000001</v>
      </c>
      <c r="L252" s="5">
        <v>4032</v>
      </c>
      <c r="M252" s="6">
        <v>2.38</v>
      </c>
    </row>
    <row r="253" spans="1:13" x14ac:dyDescent="0.35">
      <c r="A253" s="4" t="s">
        <v>477</v>
      </c>
      <c r="B253" s="4" t="s">
        <v>478</v>
      </c>
      <c r="C253" s="4" t="str">
        <f t="shared" si="9"/>
        <v>Call 7021988393 | 1BHK in 34 Lakh in Kal</v>
      </c>
      <c r="D253" s="4" t="str">
        <f t="shared" ca="1" si="10"/>
        <v>Last 365 Days</v>
      </c>
      <c r="E253" s="13">
        <v>45790</v>
      </c>
      <c r="F253" s="23">
        <f t="shared" si="11"/>
        <v>45808</v>
      </c>
      <c r="G253" s="5">
        <v>39</v>
      </c>
      <c r="H253" s="5">
        <v>993</v>
      </c>
      <c r="I253" s="6">
        <v>2.5131999999999999</v>
      </c>
      <c r="J253" s="5">
        <v>9</v>
      </c>
      <c r="K253" s="7">
        <v>0.31900000000000001</v>
      </c>
      <c r="L253" s="5">
        <v>4072</v>
      </c>
      <c r="M253" s="6">
        <v>3.95</v>
      </c>
    </row>
    <row r="254" spans="1:13" x14ac:dyDescent="0.35">
      <c r="A254" s="4" t="s">
        <v>809</v>
      </c>
      <c r="B254" s="4" t="s">
        <v>810</v>
      </c>
      <c r="C254" s="4" t="str">
        <f t="shared" si="9"/>
        <v xml:space="preserve">Call 7021988393 | Badlapur Me 2BHK Flat </v>
      </c>
      <c r="D254" s="4" t="str">
        <f t="shared" ca="1" si="10"/>
        <v>Last 365 Days</v>
      </c>
      <c r="E254" s="13">
        <v>45788</v>
      </c>
      <c r="F254" s="23">
        <f t="shared" si="11"/>
        <v>45808</v>
      </c>
      <c r="G254" s="5">
        <v>24</v>
      </c>
      <c r="H254" s="5">
        <v>647</v>
      </c>
      <c r="I254" s="6">
        <v>1.3308</v>
      </c>
      <c r="J254" s="5">
        <v>8</v>
      </c>
      <c r="K254" s="7">
        <v>0.17399999999999999</v>
      </c>
      <c r="L254" s="5">
        <v>3996</v>
      </c>
      <c r="M254" s="6">
        <v>2.6</v>
      </c>
    </row>
    <row r="255" spans="1:13" x14ac:dyDescent="0.35">
      <c r="A255" s="4" t="s">
        <v>133</v>
      </c>
      <c r="B255" s="4" t="s">
        <v>134</v>
      </c>
      <c r="C255" s="4" t="str">
        <f t="shared" si="9"/>
        <v>Call 7021988393 | 1BHK Under 42Lakh in T</v>
      </c>
      <c r="D255" s="4" t="str">
        <f t="shared" ca="1" si="10"/>
        <v>Last 365 Days</v>
      </c>
      <c r="E255" s="13">
        <v>45787</v>
      </c>
      <c r="F255" s="23">
        <f t="shared" si="11"/>
        <v>45808</v>
      </c>
      <c r="G255" s="5">
        <v>36</v>
      </c>
      <c r="H255" s="5">
        <v>2022</v>
      </c>
      <c r="I255" s="6">
        <v>4.5157999999999996</v>
      </c>
      <c r="J255" s="5">
        <v>7</v>
      </c>
      <c r="K255" s="7">
        <v>0.94099999999999995</v>
      </c>
      <c r="L255" s="5">
        <v>10250</v>
      </c>
      <c r="M255" s="6">
        <v>2.42</v>
      </c>
    </row>
    <row r="256" spans="1:13" x14ac:dyDescent="0.35">
      <c r="A256" s="4" t="s">
        <v>624</v>
      </c>
      <c r="B256" s="4" t="s">
        <v>625</v>
      </c>
      <c r="C256" s="4" t="str">
        <f t="shared" si="9"/>
        <v>Call 7021988393 | 2BHK Luxury Flat in Ka</v>
      </c>
      <c r="D256" s="4" t="str">
        <f t="shared" ca="1" si="10"/>
        <v>Last 365 Days</v>
      </c>
      <c r="E256" s="13">
        <v>45786</v>
      </c>
      <c r="F256" s="23">
        <f t="shared" si="11"/>
        <v>45808</v>
      </c>
      <c r="G256" s="5">
        <v>60</v>
      </c>
      <c r="H256" s="5">
        <v>830</v>
      </c>
      <c r="I256" s="6">
        <v>2.2284999999999999</v>
      </c>
      <c r="J256" s="5">
        <v>3</v>
      </c>
      <c r="K256" s="7">
        <v>0.28299999999999997</v>
      </c>
      <c r="L256" s="5">
        <v>3409</v>
      </c>
      <c r="M256" s="6">
        <v>3.81</v>
      </c>
    </row>
    <row r="257" spans="1:13" x14ac:dyDescent="0.35">
      <c r="A257" s="4" t="s">
        <v>270</v>
      </c>
      <c r="B257" s="4" t="s">
        <v>271</v>
      </c>
      <c r="C257" s="4" t="str">
        <f t="shared" si="9"/>
        <v xml:space="preserve">Call 7021988393 | Luxurious Township in </v>
      </c>
      <c r="D257" s="4" t="str">
        <f t="shared" ca="1" si="10"/>
        <v>Last 365 Days</v>
      </c>
      <c r="E257" s="13">
        <v>45785</v>
      </c>
      <c r="F257" s="23">
        <f t="shared" si="11"/>
        <v>45808</v>
      </c>
      <c r="G257" s="5">
        <v>39</v>
      </c>
      <c r="H257" s="5">
        <v>1397</v>
      </c>
      <c r="I257" s="6">
        <v>2.9594</v>
      </c>
      <c r="J257" s="5">
        <v>8</v>
      </c>
      <c r="K257" s="7">
        <v>0.47199999999999998</v>
      </c>
      <c r="L257" s="5">
        <v>3125</v>
      </c>
      <c r="M257" s="6">
        <v>2.91</v>
      </c>
    </row>
    <row r="258" spans="1:13" x14ac:dyDescent="0.35">
      <c r="A258" s="4" t="s">
        <v>131</v>
      </c>
      <c r="B258" s="4" t="s">
        <v>965</v>
      </c>
      <c r="C258" s="4" t="str">
        <f t="shared" si="9"/>
        <v xml:space="preserve">Luxury 2 &amp; 3 BHK |7021988393 | Shreeji </v>
      </c>
      <c r="D258" s="4" t="str">
        <f t="shared" ca="1" si="10"/>
        <v>Last 365 Days</v>
      </c>
      <c r="E258" s="13">
        <v>45784</v>
      </c>
      <c r="F258" s="23">
        <f t="shared" si="11"/>
        <v>45808</v>
      </c>
      <c r="G258" s="5">
        <v>23</v>
      </c>
      <c r="H258" s="5">
        <v>2066</v>
      </c>
      <c r="I258" s="6">
        <v>4.1200999999999999</v>
      </c>
      <c r="J258" s="5">
        <v>11</v>
      </c>
      <c r="K258" s="7">
        <v>1.3420000000000001</v>
      </c>
      <c r="L258" s="5">
        <v>6515</v>
      </c>
      <c r="M258" s="6">
        <v>2.95</v>
      </c>
    </row>
    <row r="259" spans="1:13" x14ac:dyDescent="0.35">
      <c r="A259" s="4" t="s">
        <v>520</v>
      </c>
      <c r="B259" s="4" t="s">
        <v>521</v>
      </c>
      <c r="C259" s="4" t="str">
        <f t="shared" ref="C259:C322" si="12">LEFT(B259,40)</f>
        <v>Flat Starts From 43.99 Lacs* Onwards | A</v>
      </c>
      <c r="D259" s="4" t="str">
        <f t="shared" ref="D259:D322" ca="1" si="13">IF(E259&gt;=TODAY()-28,"Last 28 Days",IF(E259&gt;=TODAY()-90,"Last 90 Days",IF(E259&gt;=TODAY()-365,"Last 365 Days","Older")))</f>
        <v>Last 365 Days</v>
      </c>
      <c r="E259" s="13">
        <v>45784</v>
      </c>
      <c r="F259" s="23">
        <f t="shared" ref="F259:F322" si="14">EOMONTH(E259,0)</f>
        <v>45808</v>
      </c>
      <c r="G259" s="5">
        <v>51</v>
      </c>
      <c r="H259" s="5">
        <v>943</v>
      </c>
      <c r="I259" s="6">
        <v>2.3188</v>
      </c>
      <c r="J259" s="5">
        <v>15</v>
      </c>
      <c r="K259" s="7">
        <v>0.34100000000000003</v>
      </c>
      <c r="L259" s="5">
        <v>5811</v>
      </c>
      <c r="M259" s="6">
        <v>1.5</v>
      </c>
    </row>
    <row r="260" spans="1:13" x14ac:dyDescent="0.35">
      <c r="A260" s="4" t="s">
        <v>130</v>
      </c>
      <c r="B260" s="4" t="s">
        <v>913</v>
      </c>
      <c r="C260" s="4" t="str">
        <f t="shared" si="12"/>
        <v>Call 7021988393 | 1BHK Premium Flat in T</v>
      </c>
      <c r="D260" s="4" t="str">
        <f t="shared" ca="1" si="13"/>
        <v>Last 365 Days</v>
      </c>
      <c r="E260" s="13">
        <v>45783</v>
      </c>
      <c r="F260" s="23">
        <f t="shared" si="14"/>
        <v>45808</v>
      </c>
      <c r="G260" s="5">
        <v>61</v>
      </c>
      <c r="H260" s="5">
        <v>2074</v>
      </c>
      <c r="I260" s="6">
        <v>10.694900000000001</v>
      </c>
      <c r="J260" s="5">
        <v>11</v>
      </c>
      <c r="K260" s="7">
        <v>0.875</v>
      </c>
      <c r="L260" s="5">
        <v>9083</v>
      </c>
      <c r="M260" s="6">
        <v>6.51</v>
      </c>
    </row>
    <row r="261" spans="1:13" x14ac:dyDescent="0.35">
      <c r="A261" s="4" t="s">
        <v>846</v>
      </c>
      <c r="B261" s="4" t="s">
        <v>988</v>
      </c>
      <c r="C261" s="4" t="str">
        <f t="shared" si="12"/>
        <v>1,2 BHK Flat Near Station‰| 7021988393</v>
      </c>
      <c r="D261" s="4" t="str">
        <f t="shared" ca="1" si="13"/>
        <v>Last 365 Days</v>
      </c>
      <c r="E261" s="13">
        <v>45783</v>
      </c>
      <c r="F261" s="23">
        <f t="shared" si="14"/>
        <v>45808</v>
      </c>
      <c r="G261" s="5">
        <v>33</v>
      </c>
      <c r="H261" s="5">
        <v>623</v>
      </c>
      <c r="I261" s="6">
        <v>1.2882</v>
      </c>
      <c r="J261" s="5">
        <v>11</v>
      </c>
      <c r="K261" s="7">
        <v>0.20100000000000001</v>
      </c>
      <c r="L261" s="5">
        <v>3291</v>
      </c>
      <c r="M261" s="6">
        <v>2.61</v>
      </c>
    </row>
    <row r="262" spans="1:13" x14ac:dyDescent="0.35">
      <c r="A262" s="4" t="s">
        <v>44</v>
      </c>
      <c r="B262" s="4" t="s">
        <v>45</v>
      </c>
      <c r="C262" s="4" t="str">
        <f t="shared" si="12"/>
        <v>Call 7021988393 | Kalyan Ka Sabse Premiu</v>
      </c>
      <c r="D262" s="4" t="str">
        <f t="shared" ca="1" si="13"/>
        <v>Last 365 Days</v>
      </c>
      <c r="E262" s="13">
        <v>45781</v>
      </c>
      <c r="F262" s="23">
        <f t="shared" si="14"/>
        <v>45808</v>
      </c>
      <c r="G262" s="5">
        <v>34</v>
      </c>
      <c r="H262" s="5">
        <v>4582</v>
      </c>
      <c r="I262" s="6">
        <v>12.076599999999999</v>
      </c>
      <c r="J262" s="5">
        <v>8</v>
      </c>
      <c r="K262" s="7">
        <v>1.375</v>
      </c>
      <c r="L262" s="5">
        <v>58647</v>
      </c>
      <c r="M262" s="6">
        <v>1.95</v>
      </c>
    </row>
    <row r="263" spans="1:13" x14ac:dyDescent="0.35">
      <c r="A263" s="4" t="s">
        <v>659</v>
      </c>
      <c r="B263" s="4" t="s">
        <v>945</v>
      </c>
      <c r="C263" s="4" t="str">
        <f t="shared" si="12"/>
        <v xml:space="preserve">Shops for Sale “Thakurli |7021988393 | </v>
      </c>
      <c r="D263" s="4" t="str">
        <f t="shared" ca="1" si="13"/>
        <v>Last 365 Days</v>
      </c>
      <c r="E263" s="13">
        <v>45781</v>
      </c>
      <c r="F263" s="23">
        <f t="shared" si="14"/>
        <v>45808</v>
      </c>
      <c r="G263" s="5">
        <v>27</v>
      </c>
      <c r="H263" s="5">
        <v>805</v>
      </c>
      <c r="I263" s="6">
        <v>1.8087</v>
      </c>
      <c r="J263" s="5">
        <v>16</v>
      </c>
      <c r="K263" s="7">
        <v>0.33200000000000002</v>
      </c>
      <c r="L263" s="5">
        <v>5728</v>
      </c>
      <c r="M263" s="6">
        <v>2.9</v>
      </c>
    </row>
    <row r="264" spans="1:13" x14ac:dyDescent="0.35">
      <c r="A264" s="4" t="s">
        <v>231</v>
      </c>
      <c r="B264" s="4" t="s">
        <v>232</v>
      </c>
      <c r="C264" s="4" t="str">
        <f t="shared" si="12"/>
        <v xml:space="preserve">Call 7021988393 | Inside a 3BHK Premium </v>
      </c>
      <c r="D264" s="4" t="str">
        <f t="shared" ca="1" si="13"/>
        <v>Last 365 Days</v>
      </c>
      <c r="E264" s="13">
        <v>45780</v>
      </c>
      <c r="F264" s="23">
        <f t="shared" si="14"/>
        <v>45808</v>
      </c>
      <c r="G264" s="5">
        <v>51</v>
      </c>
      <c r="H264" s="5">
        <v>1528</v>
      </c>
      <c r="I264" s="6">
        <v>5.8551000000000002</v>
      </c>
      <c r="J264" s="5">
        <v>10</v>
      </c>
      <c r="K264" s="7">
        <v>0.82899999999999996</v>
      </c>
      <c r="L264" s="5">
        <v>7574</v>
      </c>
      <c r="M264" s="6">
        <v>3.54</v>
      </c>
    </row>
    <row r="265" spans="1:13" x14ac:dyDescent="0.35">
      <c r="A265" s="4" t="s">
        <v>617</v>
      </c>
      <c r="B265" s="4" t="s">
        <v>987</v>
      </c>
      <c r="C265" s="4" t="str">
        <f t="shared" si="12"/>
        <v>Best Office Space in Kalyan | 7021988393</v>
      </c>
      <c r="D265" s="4" t="str">
        <f t="shared" ca="1" si="13"/>
        <v>Last 365 Days</v>
      </c>
      <c r="E265" s="13">
        <v>45780</v>
      </c>
      <c r="F265" s="23">
        <f t="shared" si="14"/>
        <v>45808</v>
      </c>
      <c r="G265" s="5">
        <v>61</v>
      </c>
      <c r="H265" s="5">
        <v>837</v>
      </c>
      <c r="I265" s="6">
        <v>3.2561</v>
      </c>
      <c r="J265" s="5">
        <v>13</v>
      </c>
      <c r="K265" s="7">
        <v>0.28499999999999998</v>
      </c>
      <c r="L265" s="5">
        <v>3702</v>
      </c>
      <c r="M265" s="6">
        <v>3.43</v>
      </c>
    </row>
    <row r="266" spans="1:13" x14ac:dyDescent="0.35">
      <c r="A266" s="4" t="s">
        <v>170</v>
      </c>
      <c r="B266" s="4" t="s">
        <v>985</v>
      </c>
      <c r="C266" s="4" t="str">
        <f t="shared" si="12"/>
        <v>Rs.17.5 1BHK Flats| Mhada &amp; RERA Approv</v>
      </c>
      <c r="D266" s="4" t="str">
        <f t="shared" ca="1" si="13"/>
        <v>Last 365 Days</v>
      </c>
      <c r="E266" s="13">
        <v>45778</v>
      </c>
      <c r="F266" s="23">
        <f t="shared" si="14"/>
        <v>45808</v>
      </c>
      <c r="G266" s="5">
        <v>103</v>
      </c>
      <c r="H266" s="5">
        <v>1774</v>
      </c>
      <c r="I266" s="6">
        <v>19.3612</v>
      </c>
      <c r="J266" s="5">
        <v>8</v>
      </c>
      <c r="K266" s="7">
        <v>0.70299999999999996</v>
      </c>
      <c r="L266" s="5">
        <v>21323</v>
      </c>
      <c r="M266" s="6">
        <v>7.21</v>
      </c>
    </row>
    <row r="267" spans="1:13" x14ac:dyDescent="0.35">
      <c r="A267" s="4" t="s">
        <v>717</v>
      </c>
      <c r="B267" s="4" t="s">
        <v>968</v>
      </c>
      <c r="C267" s="4" t="str">
        <f t="shared" si="12"/>
        <v>7021988393 | Kalyan Wests Premier Reside</v>
      </c>
      <c r="D267" s="4" t="str">
        <f t="shared" ca="1" si="13"/>
        <v>Last 365 Days</v>
      </c>
      <c r="E267" s="13">
        <v>45778</v>
      </c>
      <c r="F267" s="23">
        <f t="shared" si="14"/>
        <v>45808</v>
      </c>
      <c r="G267" s="5">
        <v>50</v>
      </c>
      <c r="H267" s="5">
        <v>751</v>
      </c>
      <c r="I267" s="6">
        <v>1.6472</v>
      </c>
      <c r="J267" s="5">
        <v>11</v>
      </c>
      <c r="K267" s="7">
        <v>0.28499999999999998</v>
      </c>
      <c r="L267" s="5">
        <v>3515</v>
      </c>
      <c r="M267" s="6">
        <v>2.48</v>
      </c>
    </row>
    <row r="268" spans="1:13" x14ac:dyDescent="0.35">
      <c r="A268" s="4" t="s">
        <v>319</v>
      </c>
      <c r="B268" s="4" t="s">
        <v>320</v>
      </c>
      <c r="C268" s="4" t="str">
        <f t="shared" si="12"/>
        <v>Call 7021988393 | 2BHK Luxury Spacious F</v>
      </c>
      <c r="D268" s="4" t="str">
        <f t="shared" ca="1" si="13"/>
        <v>Last 365 Days</v>
      </c>
      <c r="E268" s="13">
        <v>45777</v>
      </c>
      <c r="F268" s="23">
        <f t="shared" si="14"/>
        <v>45777</v>
      </c>
      <c r="G268" s="5">
        <v>39</v>
      </c>
      <c r="H268" s="5">
        <v>1265</v>
      </c>
      <c r="I268" s="6">
        <v>2.9685000000000001</v>
      </c>
      <c r="J268" s="5">
        <v>6</v>
      </c>
      <c r="K268" s="7">
        <v>0.375</v>
      </c>
      <c r="L268" s="5">
        <v>4553</v>
      </c>
      <c r="M268" s="6">
        <v>2.17</v>
      </c>
    </row>
    <row r="269" spans="1:13" x14ac:dyDescent="0.35">
      <c r="A269" s="4" t="s">
        <v>211</v>
      </c>
      <c r="B269" s="4" t="s">
        <v>967</v>
      </c>
      <c r="C269" s="4" t="str">
        <f t="shared" si="12"/>
        <v>Call 7021988393 | Inside Rustomjee Dombi</v>
      </c>
      <c r="D269" s="4" t="str">
        <f t="shared" ca="1" si="13"/>
        <v>Last 365 Days</v>
      </c>
      <c r="E269" s="13">
        <v>45776</v>
      </c>
      <c r="F269" s="23">
        <f t="shared" si="14"/>
        <v>45777</v>
      </c>
      <c r="G269" s="5">
        <v>33</v>
      </c>
      <c r="H269" s="5">
        <v>1586</v>
      </c>
      <c r="I269" s="6">
        <v>3.3306</v>
      </c>
      <c r="J269" s="5">
        <v>5</v>
      </c>
      <c r="K269" s="7">
        <v>0.73299999999999998</v>
      </c>
      <c r="L269" s="5">
        <v>5592</v>
      </c>
      <c r="M269" s="6">
        <v>2.91</v>
      </c>
    </row>
    <row r="270" spans="1:13" x14ac:dyDescent="0.35">
      <c r="A270" s="4" t="s">
        <v>655</v>
      </c>
      <c r="B270" s="4" t="s">
        <v>656</v>
      </c>
      <c r="C270" s="4" t="str">
        <f t="shared" si="12"/>
        <v>Call 7021988393 | Step Inside Birla Vany</v>
      </c>
      <c r="D270" s="4" t="str">
        <f t="shared" ca="1" si="13"/>
        <v>Last 365 Days</v>
      </c>
      <c r="E270" s="13">
        <v>45774</v>
      </c>
      <c r="F270" s="23">
        <f t="shared" si="14"/>
        <v>45777</v>
      </c>
      <c r="G270" s="5">
        <v>56</v>
      </c>
      <c r="H270" s="5">
        <v>807</v>
      </c>
      <c r="I270" s="6">
        <v>2.9321000000000002</v>
      </c>
      <c r="J270" s="5">
        <v>7</v>
      </c>
      <c r="K270" s="7">
        <v>0.34200000000000003</v>
      </c>
      <c r="L270" s="5">
        <v>4785</v>
      </c>
      <c r="M270" s="6">
        <v>2.2999999999999998</v>
      </c>
    </row>
    <row r="271" spans="1:13" x14ac:dyDescent="0.35">
      <c r="A271" s="4" t="s">
        <v>187</v>
      </c>
      <c r="B271" s="4" t="s">
        <v>188</v>
      </c>
      <c r="C271" s="4" t="str">
        <f t="shared" si="12"/>
        <v>Call 7021988393 | 1 BHK Luxury Flat in K</v>
      </c>
      <c r="D271" s="4" t="str">
        <f t="shared" ca="1" si="13"/>
        <v>Last 365 Days</v>
      </c>
      <c r="E271" s="13">
        <v>45772</v>
      </c>
      <c r="F271" s="23">
        <f t="shared" si="14"/>
        <v>45777</v>
      </c>
      <c r="G271" s="5">
        <v>48</v>
      </c>
      <c r="H271" s="5">
        <v>1695</v>
      </c>
      <c r="I271" s="6">
        <v>6.95</v>
      </c>
      <c r="J271" s="5">
        <v>13</v>
      </c>
      <c r="K271" s="7">
        <v>0.72699999999999998</v>
      </c>
      <c r="L271" s="5">
        <v>13039</v>
      </c>
      <c r="M271" s="6">
        <v>3.02</v>
      </c>
    </row>
    <row r="272" spans="1:13" x14ac:dyDescent="0.35">
      <c r="A272" s="4" t="s">
        <v>164</v>
      </c>
      <c r="B272" s="4" t="s">
        <v>165</v>
      </c>
      <c r="C272" s="4" t="str">
        <f t="shared" si="12"/>
        <v>Call 7021988393 | 2BHK Flat Tour in Swam</v>
      </c>
      <c r="D272" s="4" t="str">
        <f t="shared" ca="1" si="13"/>
        <v>Last 365 Days</v>
      </c>
      <c r="E272" s="13">
        <v>45766</v>
      </c>
      <c r="F272" s="23">
        <f t="shared" si="14"/>
        <v>45777</v>
      </c>
      <c r="G272" s="5">
        <v>45</v>
      </c>
      <c r="H272" s="5">
        <v>1814</v>
      </c>
      <c r="I272" s="6">
        <v>6.944</v>
      </c>
      <c r="J272" s="5">
        <v>15</v>
      </c>
      <c r="K272" s="7">
        <v>1.0329999999999999</v>
      </c>
      <c r="L272" s="5">
        <v>5039</v>
      </c>
      <c r="M272" s="6">
        <v>4.8600000000000003</v>
      </c>
    </row>
    <row r="273" spans="1:13" x14ac:dyDescent="0.35">
      <c r="A273" s="4" t="s">
        <v>224</v>
      </c>
      <c r="B273" s="4" t="s">
        <v>949</v>
      </c>
      <c r="C273" s="4" t="str">
        <f t="shared" si="12"/>
        <v>Call 7021988393 | 1BHK Ready to Move Fla</v>
      </c>
      <c r="D273" s="4" t="str">
        <f t="shared" ca="1" si="13"/>
        <v>Last 365 Days</v>
      </c>
      <c r="E273" s="13">
        <v>45765</v>
      </c>
      <c r="F273" s="23">
        <f t="shared" si="14"/>
        <v>45777</v>
      </c>
      <c r="G273" s="5">
        <v>44</v>
      </c>
      <c r="H273" s="5">
        <v>1554</v>
      </c>
      <c r="I273" s="6">
        <v>5.5479000000000003</v>
      </c>
      <c r="J273" s="5">
        <v>19</v>
      </c>
      <c r="K273" s="7">
        <v>0.751</v>
      </c>
      <c r="L273" s="5">
        <v>5702</v>
      </c>
      <c r="M273" s="6">
        <v>4.96</v>
      </c>
    </row>
    <row r="274" spans="1:13" x14ac:dyDescent="0.35">
      <c r="A274" s="4" t="s">
        <v>189</v>
      </c>
      <c r="B274" s="4" t="s">
        <v>190</v>
      </c>
      <c r="C274" s="4" t="str">
        <f t="shared" si="12"/>
        <v>Call 7021988393 | 1 &amp; 2 BHK Luxury Flats</v>
      </c>
      <c r="D274" s="4" t="str">
        <f t="shared" ca="1" si="13"/>
        <v>Last 365 Days</v>
      </c>
      <c r="E274" s="13">
        <v>45764</v>
      </c>
      <c r="F274" s="23">
        <f t="shared" si="14"/>
        <v>45777</v>
      </c>
      <c r="G274" s="5">
        <v>38</v>
      </c>
      <c r="H274" s="5">
        <v>1670</v>
      </c>
      <c r="I274" s="6">
        <v>7.6474000000000002</v>
      </c>
      <c r="J274" s="5">
        <v>14</v>
      </c>
      <c r="K274" s="7">
        <v>0.76200000000000001</v>
      </c>
      <c r="L274" s="5">
        <v>7542</v>
      </c>
      <c r="M274" s="6">
        <v>4.07</v>
      </c>
    </row>
    <row r="275" spans="1:13" x14ac:dyDescent="0.35">
      <c r="A275" s="4" t="s">
        <v>500</v>
      </c>
      <c r="B275" s="4" t="s">
        <v>501</v>
      </c>
      <c r="C275" s="4" t="str">
        <f t="shared" si="12"/>
        <v>Call 7021988393 | Commercial Property fo</v>
      </c>
      <c r="D275" s="4" t="str">
        <f t="shared" ca="1" si="13"/>
        <v>Last 365 Days</v>
      </c>
      <c r="E275" s="13">
        <v>45763</v>
      </c>
      <c r="F275" s="23">
        <f t="shared" si="14"/>
        <v>45777</v>
      </c>
      <c r="G275" s="5">
        <v>30</v>
      </c>
      <c r="H275" s="5">
        <v>970</v>
      </c>
      <c r="I275" s="6">
        <v>2.5085999999999999</v>
      </c>
      <c r="J275" s="5">
        <v>16</v>
      </c>
      <c r="K275" s="7">
        <v>0.4</v>
      </c>
      <c r="L275" s="5">
        <v>5113</v>
      </c>
      <c r="M275" s="6">
        <v>3.29</v>
      </c>
    </row>
    <row r="276" spans="1:13" x14ac:dyDescent="0.35">
      <c r="A276" s="4" t="s">
        <v>306</v>
      </c>
      <c r="B276" s="4" t="s">
        <v>307</v>
      </c>
      <c r="C276" s="4" t="str">
        <f t="shared" si="12"/>
        <v>Call 7021988393 | 1BHK Premium Flat in D</v>
      </c>
      <c r="D276" s="4" t="str">
        <f t="shared" ca="1" si="13"/>
        <v>Last 365 Days</v>
      </c>
      <c r="E276" s="13">
        <v>45762</v>
      </c>
      <c r="F276" s="23">
        <f t="shared" si="14"/>
        <v>45777</v>
      </c>
      <c r="G276" s="5">
        <v>64</v>
      </c>
      <c r="H276" s="5">
        <v>1282</v>
      </c>
      <c r="I276" s="6">
        <v>7.1035000000000004</v>
      </c>
      <c r="J276" s="5">
        <v>20</v>
      </c>
      <c r="K276" s="7">
        <v>0.57099999999999995</v>
      </c>
      <c r="L276" s="5">
        <v>5897</v>
      </c>
      <c r="M276" s="6">
        <v>6.39</v>
      </c>
    </row>
    <row r="277" spans="1:13" x14ac:dyDescent="0.35">
      <c r="A277" s="4" t="s">
        <v>180</v>
      </c>
      <c r="B277" s="4" t="s">
        <v>181</v>
      </c>
      <c r="C277" s="4" t="str">
        <f t="shared" si="12"/>
        <v>Call 7021988393 | 1BHK Luxury Flats in B</v>
      </c>
      <c r="D277" s="4" t="str">
        <f t="shared" ca="1" si="13"/>
        <v>Last 365 Days</v>
      </c>
      <c r="E277" s="13">
        <v>45760</v>
      </c>
      <c r="F277" s="23">
        <f t="shared" si="14"/>
        <v>45777</v>
      </c>
      <c r="G277" s="5">
        <v>42</v>
      </c>
      <c r="H277" s="5">
        <v>1742</v>
      </c>
      <c r="I277" s="6">
        <v>4.6257999999999999</v>
      </c>
      <c r="J277" s="5">
        <v>16</v>
      </c>
      <c r="K277" s="7">
        <v>0.51100000000000001</v>
      </c>
      <c r="L277" s="5">
        <v>21959</v>
      </c>
      <c r="M277" s="6">
        <v>1.45</v>
      </c>
    </row>
    <row r="278" spans="1:13" x14ac:dyDescent="0.35">
      <c r="A278" s="4" t="s">
        <v>367</v>
      </c>
      <c r="B278" s="4" t="s">
        <v>919</v>
      </c>
      <c r="C278" s="4" t="str">
        <f t="shared" si="12"/>
        <v>Call 7021988393 | 1 &amp; 2 BHK Flats in Kal</v>
      </c>
      <c r="D278" s="4" t="str">
        <f t="shared" ca="1" si="13"/>
        <v>Last 365 Days</v>
      </c>
      <c r="E278" s="13">
        <v>45759</v>
      </c>
      <c r="F278" s="23">
        <f t="shared" si="14"/>
        <v>45777</v>
      </c>
      <c r="G278" s="5">
        <v>43</v>
      </c>
      <c r="H278" s="5">
        <v>1175</v>
      </c>
      <c r="I278" s="6">
        <v>4.2186000000000003</v>
      </c>
      <c r="J278" s="5">
        <v>13</v>
      </c>
      <c r="K278" s="7">
        <v>0.53200000000000003</v>
      </c>
      <c r="L278" s="5">
        <v>5678</v>
      </c>
      <c r="M278" s="6">
        <v>3.47</v>
      </c>
    </row>
    <row r="279" spans="1:13" x14ac:dyDescent="0.35">
      <c r="A279" s="4" t="s">
        <v>174</v>
      </c>
      <c r="B279" s="4" t="s">
        <v>933</v>
      </c>
      <c r="C279" s="4" t="str">
        <f t="shared" si="12"/>
        <v>Call7021988393 | 2 BHK Flats in Dombivl</v>
      </c>
      <c r="D279" s="4" t="str">
        <f t="shared" ca="1" si="13"/>
        <v>Last 365 Days</v>
      </c>
      <c r="E279" s="13">
        <v>45757</v>
      </c>
      <c r="F279" s="23">
        <f t="shared" si="14"/>
        <v>45777</v>
      </c>
      <c r="G279" s="5">
        <v>38</v>
      </c>
      <c r="H279" s="5">
        <v>1758</v>
      </c>
      <c r="I279" s="6">
        <v>3.7700999999999998</v>
      </c>
      <c r="J279" s="5">
        <v>16</v>
      </c>
      <c r="K279" s="7">
        <v>0.58599999999999997</v>
      </c>
      <c r="L279" s="5">
        <v>8886</v>
      </c>
      <c r="M279" s="6">
        <v>1.74</v>
      </c>
    </row>
    <row r="280" spans="1:13" x14ac:dyDescent="0.35">
      <c r="A280" s="4" t="s">
        <v>246</v>
      </c>
      <c r="B280" s="4" t="s">
        <v>247</v>
      </c>
      <c r="C280" s="4" t="str">
        <f t="shared" si="12"/>
        <v>Call 7021988393 | Luxury 2 BHK Flat Tour</v>
      </c>
      <c r="D280" s="4" t="str">
        <f t="shared" ca="1" si="13"/>
        <v>Last 365 Days</v>
      </c>
      <c r="E280" s="13">
        <v>45756</v>
      </c>
      <c r="F280" s="23">
        <f t="shared" si="14"/>
        <v>45777</v>
      </c>
      <c r="G280" s="5">
        <v>52</v>
      </c>
      <c r="H280" s="5">
        <v>1465</v>
      </c>
      <c r="I280" s="6">
        <v>8.1609999999999996</v>
      </c>
      <c r="J280" s="5">
        <v>23</v>
      </c>
      <c r="K280" s="7">
        <v>0.82699999999999996</v>
      </c>
      <c r="L280" s="5">
        <v>7614</v>
      </c>
      <c r="M280" s="6">
        <v>5.82</v>
      </c>
    </row>
    <row r="281" spans="1:13" x14ac:dyDescent="0.35">
      <c r="A281" s="4" t="s">
        <v>445</v>
      </c>
      <c r="B281" s="4" t="s">
        <v>446</v>
      </c>
      <c r="C281" s="4" t="str">
        <f t="shared" si="12"/>
        <v>Call 7021988393 | Ornate Rise 2BHK Luxur</v>
      </c>
      <c r="D281" s="4" t="str">
        <f t="shared" ca="1" si="13"/>
        <v>Last 365 Days</v>
      </c>
      <c r="E281" s="13">
        <v>45753</v>
      </c>
      <c r="F281" s="23">
        <f t="shared" si="14"/>
        <v>45777</v>
      </c>
      <c r="G281" s="5">
        <v>32</v>
      </c>
      <c r="H281" s="5">
        <v>1047</v>
      </c>
      <c r="I281" s="6">
        <v>2.6595</v>
      </c>
      <c r="J281" s="5">
        <v>22</v>
      </c>
      <c r="K281" s="7">
        <v>0.34599999999999997</v>
      </c>
      <c r="L281" s="5">
        <v>6677</v>
      </c>
      <c r="M281" s="6">
        <v>2.04</v>
      </c>
    </row>
    <row r="282" spans="1:13" x14ac:dyDescent="0.35">
      <c r="A282" s="4" t="s">
        <v>166</v>
      </c>
      <c r="B282" s="4" t="s">
        <v>167</v>
      </c>
      <c r="C282" s="4" t="str">
        <f t="shared" si="12"/>
        <v>Call 7021988393 | Industrial Gala for Sa</v>
      </c>
      <c r="D282" s="4" t="str">
        <f t="shared" ca="1" si="13"/>
        <v>Last 365 Days</v>
      </c>
      <c r="E282" s="13">
        <v>45751</v>
      </c>
      <c r="F282" s="23">
        <f t="shared" si="14"/>
        <v>45777</v>
      </c>
      <c r="G282" s="5">
        <v>35</v>
      </c>
      <c r="H282" s="5">
        <v>1801</v>
      </c>
      <c r="I282" s="6">
        <v>6.2962999999999996</v>
      </c>
      <c r="J282" s="5">
        <v>28</v>
      </c>
      <c r="K282" s="7">
        <v>0.87</v>
      </c>
      <c r="L282" s="5">
        <v>11056</v>
      </c>
      <c r="M282" s="6">
        <v>2.74</v>
      </c>
    </row>
    <row r="283" spans="1:13" x14ac:dyDescent="0.35">
      <c r="A283" s="4" t="s">
        <v>160</v>
      </c>
      <c r="B283" s="4" t="s">
        <v>161</v>
      </c>
      <c r="C283" s="4" t="str">
        <f t="shared" si="12"/>
        <v>Call 7021988393 | Ornate Rise 2BHK Sampl</v>
      </c>
      <c r="D283" s="4" t="str">
        <f t="shared" ca="1" si="13"/>
        <v>Last 365 Days</v>
      </c>
      <c r="E283" s="13">
        <v>45749</v>
      </c>
      <c r="F283" s="23">
        <f t="shared" si="14"/>
        <v>45777</v>
      </c>
      <c r="G283" s="5">
        <v>31</v>
      </c>
      <c r="H283" s="5">
        <v>1829</v>
      </c>
      <c r="I283" s="6">
        <v>4.7393999999999998</v>
      </c>
      <c r="J283" s="5">
        <v>21</v>
      </c>
      <c r="K283" s="7">
        <v>0.69</v>
      </c>
      <c r="L283" s="5">
        <v>5377</v>
      </c>
      <c r="M283" s="6">
        <v>3.89</v>
      </c>
    </row>
    <row r="284" spans="1:13" x14ac:dyDescent="0.35">
      <c r="A284" s="4" t="s">
        <v>191</v>
      </c>
      <c r="B284" s="4" t="s">
        <v>192</v>
      </c>
      <c r="C284" s="4" t="str">
        <f t="shared" si="12"/>
        <v>1BHK Luxury Flat at Tharwani Vedant Naks</v>
      </c>
      <c r="D284" s="4" t="str">
        <f t="shared" ca="1" si="13"/>
        <v>Last 365 Days</v>
      </c>
      <c r="E284" s="13">
        <v>45746</v>
      </c>
      <c r="F284" s="23">
        <f t="shared" si="14"/>
        <v>45747</v>
      </c>
      <c r="G284" s="5">
        <v>49</v>
      </c>
      <c r="H284" s="5">
        <v>1667</v>
      </c>
      <c r="I284" s="6">
        <v>9.6112000000000002</v>
      </c>
      <c r="J284" s="5">
        <v>27</v>
      </c>
      <c r="K284" s="7">
        <v>1.107</v>
      </c>
      <c r="L284" s="5">
        <v>8305</v>
      </c>
      <c r="M284" s="6">
        <v>6.21</v>
      </c>
    </row>
    <row r="285" spans="1:13" x14ac:dyDescent="0.35">
      <c r="A285" s="4" t="s">
        <v>414</v>
      </c>
      <c r="B285" s="4" t="s">
        <v>415</v>
      </c>
      <c r="C285" s="4" t="str">
        <f t="shared" si="12"/>
        <v>Stunning 1BHK Sample Flat Tour | Codenam</v>
      </c>
      <c r="D285" s="4" t="str">
        <f t="shared" ca="1" si="13"/>
        <v>Last 365 Days</v>
      </c>
      <c r="E285" s="13">
        <v>45745</v>
      </c>
      <c r="F285" s="23">
        <f t="shared" si="14"/>
        <v>45747</v>
      </c>
      <c r="G285" s="5">
        <v>47</v>
      </c>
      <c r="H285" s="5">
        <v>1091</v>
      </c>
      <c r="I285" s="6">
        <v>4.9851999999999999</v>
      </c>
      <c r="J285" s="5">
        <v>31</v>
      </c>
      <c r="K285" s="7">
        <v>0.79700000000000004</v>
      </c>
      <c r="L285" s="5">
        <v>4926</v>
      </c>
      <c r="M285" s="6">
        <v>3.69</v>
      </c>
    </row>
    <row r="286" spans="1:13" x14ac:dyDescent="0.35">
      <c r="A286" s="4" t="s">
        <v>49</v>
      </c>
      <c r="B286" s="4" t="s">
        <v>50</v>
      </c>
      <c r="C286" s="4" t="str">
        <f t="shared" si="12"/>
        <v>Commercial Shop for Sale Near Me in Kaly</v>
      </c>
      <c r="D286" s="4" t="str">
        <f t="shared" ca="1" si="13"/>
        <v>Last 365 Days</v>
      </c>
      <c r="E286" s="13">
        <v>45744</v>
      </c>
      <c r="F286" s="23">
        <f t="shared" si="14"/>
        <v>45747</v>
      </c>
      <c r="G286" s="5">
        <v>26</v>
      </c>
      <c r="H286" s="5">
        <v>4316</v>
      </c>
      <c r="I286" s="6">
        <v>17.036899999999999</v>
      </c>
      <c r="J286" s="5">
        <v>34</v>
      </c>
      <c r="K286" s="7">
        <v>2.698</v>
      </c>
      <c r="L286" s="5">
        <v>23764</v>
      </c>
      <c r="M286" s="6">
        <v>6.16</v>
      </c>
    </row>
    <row r="287" spans="1:13" x14ac:dyDescent="0.35">
      <c r="A287" s="4" t="s">
        <v>219</v>
      </c>
      <c r="B287" s="4" t="s">
        <v>220</v>
      </c>
      <c r="C287" s="4" t="str">
        <f t="shared" si="12"/>
        <v>Amber One Thakurli Real Estate Project |</v>
      </c>
      <c r="D287" s="4" t="str">
        <f t="shared" ca="1" si="13"/>
        <v>Last 365 Days</v>
      </c>
      <c r="E287" s="13">
        <v>45744</v>
      </c>
      <c r="F287" s="23">
        <f t="shared" si="14"/>
        <v>45747</v>
      </c>
      <c r="G287" s="5">
        <v>47</v>
      </c>
      <c r="H287" s="5">
        <v>1563</v>
      </c>
      <c r="I287" s="6">
        <v>9.6311</v>
      </c>
      <c r="J287" s="5">
        <v>23</v>
      </c>
      <c r="K287" s="7">
        <v>1.0549999999999999</v>
      </c>
      <c r="L287" s="5">
        <v>9350</v>
      </c>
      <c r="M287" s="6">
        <v>7.21</v>
      </c>
    </row>
    <row r="288" spans="1:13" x14ac:dyDescent="0.35">
      <c r="A288" s="4" t="s">
        <v>96</v>
      </c>
      <c r="B288" s="4" t="s">
        <v>97</v>
      </c>
      <c r="C288" s="4" t="str">
        <f t="shared" si="12"/>
        <v>Affordable Flats in Thakurli | Balaji Go</v>
      </c>
      <c r="D288" s="4" t="str">
        <f t="shared" ca="1" si="13"/>
        <v>Last 365 Days</v>
      </c>
      <c r="E288" s="13">
        <v>45743</v>
      </c>
      <c r="F288" s="23">
        <f t="shared" si="14"/>
        <v>45747</v>
      </c>
      <c r="G288" s="5">
        <v>31</v>
      </c>
      <c r="H288" s="5">
        <v>2353</v>
      </c>
      <c r="I288" s="6">
        <v>10.4069</v>
      </c>
      <c r="J288" s="5">
        <v>33</v>
      </c>
      <c r="K288" s="7">
        <v>1.9730000000000001</v>
      </c>
      <c r="L288" s="5">
        <v>9264</v>
      </c>
      <c r="M288" s="6">
        <v>7.78</v>
      </c>
    </row>
    <row r="289" spans="1:13" x14ac:dyDescent="0.35">
      <c r="A289" s="4" t="s">
        <v>194</v>
      </c>
      <c r="B289" s="4" t="s">
        <v>195</v>
      </c>
      <c r="C289" s="4" t="str">
        <f t="shared" si="12"/>
        <v>Tharwani Palacia 2BHK Sample Flat | Luxu</v>
      </c>
      <c r="D289" s="4" t="str">
        <f t="shared" ca="1" si="13"/>
        <v>Last 365 Days</v>
      </c>
      <c r="E289" s="13">
        <v>45742</v>
      </c>
      <c r="F289" s="23">
        <f t="shared" si="14"/>
        <v>45747</v>
      </c>
      <c r="G289" s="5">
        <v>51</v>
      </c>
      <c r="H289" s="5">
        <v>1653</v>
      </c>
      <c r="I289" s="6">
        <v>10.327500000000001</v>
      </c>
      <c r="J289" s="5">
        <v>21</v>
      </c>
      <c r="K289" s="7">
        <v>1.3220000000000001</v>
      </c>
      <c r="L289" s="5">
        <v>8949</v>
      </c>
      <c r="M289" s="6">
        <v>7.33</v>
      </c>
    </row>
    <row r="290" spans="1:13" x14ac:dyDescent="0.35">
      <c r="A290" s="4" t="s">
        <v>108</v>
      </c>
      <c r="B290" s="4" t="s">
        <v>109</v>
      </c>
      <c r="C290" s="4" t="str">
        <f t="shared" si="12"/>
        <v>Balaji Krishna 1BHK Flat | Affordable Fl</v>
      </c>
      <c r="D290" s="4" t="str">
        <f t="shared" ca="1" si="13"/>
        <v>Last 365 Days</v>
      </c>
      <c r="E290" s="13">
        <v>45739</v>
      </c>
      <c r="F290" s="23">
        <f t="shared" si="14"/>
        <v>45747</v>
      </c>
      <c r="G290" s="5">
        <v>35</v>
      </c>
      <c r="H290" s="5">
        <v>2209</v>
      </c>
      <c r="I290" s="6">
        <v>9.8635000000000002</v>
      </c>
      <c r="J290" s="5">
        <v>29</v>
      </c>
      <c r="K290" s="7">
        <v>1.5169999999999999</v>
      </c>
      <c r="L290" s="5">
        <v>10514</v>
      </c>
      <c r="M290" s="6">
        <v>8.1</v>
      </c>
    </row>
    <row r="291" spans="1:13" x14ac:dyDescent="0.35">
      <c r="A291" s="4" t="s">
        <v>692</v>
      </c>
      <c r="B291" s="4" t="s">
        <v>693</v>
      </c>
      <c r="C291" s="4" t="str">
        <f t="shared" si="12"/>
        <v xml:space="preserve">1BHK Ready to Move Flats in Kalyan West </v>
      </c>
      <c r="D291" s="4" t="str">
        <f t="shared" ca="1" si="13"/>
        <v>Last 365 Days</v>
      </c>
      <c r="E291" s="13">
        <v>45738</v>
      </c>
      <c r="F291" s="23">
        <f t="shared" si="14"/>
        <v>45747</v>
      </c>
      <c r="G291" s="5">
        <v>42</v>
      </c>
      <c r="H291" s="5">
        <v>775</v>
      </c>
      <c r="I291" s="6">
        <v>5.0270000000000001</v>
      </c>
      <c r="J291" s="5">
        <v>24</v>
      </c>
      <c r="K291" s="7">
        <v>0.60299999999999998</v>
      </c>
      <c r="L291" s="5">
        <v>4676</v>
      </c>
      <c r="M291" s="6">
        <v>5.75</v>
      </c>
    </row>
    <row r="292" spans="1:13" x14ac:dyDescent="0.35">
      <c r="A292" s="4" t="s">
        <v>877</v>
      </c>
      <c r="B292" s="4" t="s">
        <v>878</v>
      </c>
      <c r="C292" s="4" t="str">
        <f t="shared" si="12"/>
        <v xml:space="preserve">Elite Galaxy Dombivli | Affordable 2BHK </v>
      </c>
      <c r="D292" s="4" t="str">
        <f t="shared" ca="1" si="13"/>
        <v>Last 365 Days</v>
      </c>
      <c r="E292" s="13">
        <v>45738</v>
      </c>
      <c r="F292" s="23">
        <f t="shared" si="14"/>
        <v>45747</v>
      </c>
      <c r="G292" s="5">
        <v>104</v>
      </c>
      <c r="H292" s="5">
        <v>594</v>
      </c>
      <c r="I292" s="6">
        <v>7.593</v>
      </c>
      <c r="J292" s="5">
        <v>19</v>
      </c>
      <c r="K292" s="7">
        <v>0.95399999999999996</v>
      </c>
      <c r="L292" s="5">
        <v>6357</v>
      </c>
      <c r="M292" s="6">
        <v>4.45</v>
      </c>
    </row>
    <row r="293" spans="1:13" x14ac:dyDescent="0.35">
      <c r="A293" s="4" t="s">
        <v>401</v>
      </c>
      <c r="B293" s="4" t="s">
        <v>402</v>
      </c>
      <c r="C293" s="4" t="str">
        <f t="shared" si="12"/>
        <v>Mehta Altura Kalyan West | 2BHk Sample S</v>
      </c>
      <c r="D293" s="4" t="str">
        <f t="shared" ca="1" si="13"/>
        <v>Last 365 Days</v>
      </c>
      <c r="E293" s="13">
        <v>45737</v>
      </c>
      <c r="F293" s="23">
        <f t="shared" si="14"/>
        <v>45747</v>
      </c>
      <c r="G293" s="5">
        <v>18</v>
      </c>
      <c r="H293" s="5">
        <v>1113</v>
      </c>
      <c r="I293" s="6">
        <v>3.7296</v>
      </c>
      <c r="J293" s="5">
        <v>15</v>
      </c>
      <c r="K293" s="7">
        <v>0.97299999999999998</v>
      </c>
      <c r="L293" s="5">
        <v>5632</v>
      </c>
      <c r="M293" s="6">
        <v>5.0199999999999996</v>
      </c>
    </row>
    <row r="294" spans="1:13" x14ac:dyDescent="0.35">
      <c r="A294" s="4" t="s">
        <v>813</v>
      </c>
      <c r="B294" s="4" t="s">
        <v>814</v>
      </c>
      <c r="C294" s="4" t="str">
        <f t="shared" si="12"/>
        <v>Biggest Carpet at Affordable Price | Sag</v>
      </c>
      <c r="D294" s="4" t="str">
        <f t="shared" ca="1" si="13"/>
        <v>Last 365 Days</v>
      </c>
      <c r="E294" s="13">
        <v>45737</v>
      </c>
      <c r="F294" s="23">
        <f t="shared" si="14"/>
        <v>45747</v>
      </c>
      <c r="G294" s="5">
        <v>56</v>
      </c>
      <c r="H294" s="5">
        <v>641</v>
      </c>
      <c r="I294" s="6">
        <v>4.4606000000000003</v>
      </c>
      <c r="J294" s="5">
        <v>27</v>
      </c>
      <c r="K294" s="7">
        <v>0.47399999999999998</v>
      </c>
      <c r="L294" s="5">
        <v>4585</v>
      </c>
      <c r="M294" s="6">
        <v>4.5999999999999996</v>
      </c>
    </row>
    <row r="295" spans="1:13" x14ac:dyDescent="0.35">
      <c r="A295" s="4" t="s">
        <v>238</v>
      </c>
      <c r="B295" s="4" t="s">
        <v>239</v>
      </c>
      <c r="C295" s="4" t="str">
        <f t="shared" si="12"/>
        <v>Best Real Estate Project in Dombivli | K</v>
      </c>
      <c r="D295" s="4" t="str">
        <f t="shared" ca="1" si="13"/>
        <v>Last 365 Days</v>
      </c>
      <c r="E295" s="13">
        <v>45735</v>
      </c>
      <c r="F295" s="23">
        <f t="shared" si="14"/>
        <v>45747</v>
      </c>
      <c r="G295" s="5">
        <v>42</v>
      </c>
      <c r="H295" s="5">
        <v>1498</v>
      </c>
      <c r="I295" s="6">
        <v>7.8124000000000002</v>
      </c>
      <c r="J295" s="5">
        <v>19</v>
      </c>
      <c r="K295" s="7">
        <v>1.0940000000000001</v>
      </c>
      <c r="L295" s="5">
        <v>8440</v>
      </c>
      <c r="M295" s="6">
        <v>5.78</v>
      </c>
    </row>
    <row r="296" spans="1:13" x14ac:dyDescent="0.35">
      <c r="A296" s="4" t="s">
        <v>482</v>
      </c>
      <c r="B296" s="4" t="s">
        <v>483</v>
      </c>
      <c r="C296" s="4" t="str">
        <f t="shared" si="12"/>
        <v xml:space="preserve">The Tallest Residential Tower in Kalyan </v>
      </c>
      <c r="D296" s="4" t="str">
        <f t="shared" ca="1" si="13"/>
        <v>Last 365 Days</v>
      </c>
      <c r="E296" s="13">
        <v>45734</v>
      </c>
      <c r="F296" s="23">
        <f t="shared" si="14"/>
        <v>45747</v>
      </c>
      <c r="G296" s="5">
        <v>23</v>
      </c>
      <c r="H296" s="5">
        <v>986</v>
      </c>
      <c r="I296" s="6">
        <v>3.6318999999999999</v>
      </c>
      <c r="J296" s="5">
        <v>20</v>
      </c>
      <c r="K296" s="7">
        <v>0.63600000000000001</v>
      </c>
      <c r="L296" s="5">
        <v>7093</v>
      </c>
      <c r="M296" s="6">
        <v>5.05</v>
      </c>
    </row>
    <row r="297" spans="1:13" x14ac:dyDescent="0.35">
      <c r="A297" s="4" t="s">
        <v>23</v>
      </c>
      <c r="B297" s="4" t="s">
        <v>24</v>
      </c>
      <c r="C297" s="4" t="str">
        <f t="shared" si="12"/>
        <v xml:space="preserve">Swaminarayan City Dombivli | Luxury 1 &amp; </v>
      </c>
      <c r="D297" s="4" t="str">
        <f t="shared" ca="1" si="13"/>
        <v>Last 365 Days</v>
      </c>
      <c r="E297" s="13">
        <v>45732</v>
      </c>
      <c r="F297" s="23">
        <f t="shared" si="14"/>
        <v>45747</v>
      </c>
      <c r="G297" s="5">
        <v>32</v>
      </c>
      <c r="H297" s="5">
        <v>10191</v>
      </c>
      <c r="I297" s="6">
        <v>42.759599999999999</v>
      </c>
      <c r="J297" s="5">
        <v>29</v>
      </c>
      <c r="K297" s="7">
        <v>5.673</v>
      </c>
      <c r="L297" s="5">
        <v>51089</v>
      </c>
      <c r="M297" s="6">
        <v>8.77</v>
      </c>
    </row>
    <row r="298" spans="1:13" x14ac:dyDescent="0.35">
      <c r="A298" s="4" t="s">
        <v>650</v>
      </c>
      <c r="B298" s="4" t="s">
        <v>924</v>
      </c>
      <c r="C298" s="4" t="str">
        <f t="shared" si="12"/>
        <v xml:space="preserve">1BHK Affordable Flat in Thakurli | Best </v>
      </c>
      <c r="D298" s="4" t="str">
        <f t="shared" ca="1" si="13"/>
        <v>Last 365 Days</v>
      </c>
      <c r="E298" s="13">
        <v>45732</v>
      </c>
      <c r="F298" s="23">
        <f t="shared" si="14"/>
        <v>45747</v>
      </c>
      <c r="G298" s="5">
        <v>45</v>
      </c>
      <c r="H298" s="5">
        <v>812</v>
      </c>
      <c r="I298" s="6">
        <v>7.1417999999999999</v>
      </c>
      <c r="J298" s="5">
        <v>17</v>
      </c>
      <c r="K298" s="7">
        <v>0.56299999999999994</v>
      </c>
      <c r="L298" s="5">
        <v>4352</v>
      </c>
      <c r="M298" s="6">
        <v>6.76</v>
      </c>
    </row>
    <row r="299" spans="1:13" x14ac:dyDescent="0.35">
      <c r="A299" s="4" t="s">
        <v>673</v>
      </c>
      <c r="B299" s="4" t="s">
        <v>674</v>
      </c>
      <c r="C299" s="4" t="str">
        <f t="shared" si="12"/>
        <v>2BHK Luxury Flat in Dombivli | Vastu Lux</v>
      </c>
      <c r="D299" s="4" t="str">
        <f t="shared" ca="1" si="13"/>
        <v>Last 365 Days</v>
      </c>
      <c r="E299" s="13">
        <v>45731</v>
      </c>
      <c r="F299" s="23">
        <f t="shared" si="14"/>
        <v>45747</v>
      </c>
      <c r="G299" s="5">
        <v>51</v>
      </c>
      <c r="H299" s="5">
        <v>793</v>
      </c>
      <c r="I299" s="6">
        <v>4.8818999999999999</v>
      </c>
      <c r="J299" s="5">
        <v>12</v>
      </c>
      <c r="K299" s="7">
        <v>0.64300000000000002</v>
      </c>
      <c r="L299" s="5">
        <v>3872</v>
      </c>
      <c r="M299" s="6">
        <v>6.28</v>
      </c>
    </row>
    <row r="300" spans="1:13" x14ac:dyDescent="0.35">
      <c r="A300" s="4" t="s">
        <v>463</v>
      </c>
      <c r="B300" s="4" t="s">
        <v>464</v>
      </c>
      <c r="C300" s="4" t="str">
        <f t="shared" si="12"/>
        <v>Affordable 1 &amp; 2 BHK Flats in Kalyan | M</v>
      </c>
      <c r="D300" s="4" t="str">
        <f t="shared" ca="1" si="13"/>
        <v>Last 365 Days</v>
      </c>
      <c r="E300" s="13">
        <v>45729</v>
      </c>
      <c r="F300" s="23">
        <f t="shared" si="14"/>
        <v>45747</v>
      </c>
      <c r="G300" s="5">
        <v>39</v>
      </c>
      <c r="H300" s="5">
        <v>1013</v>
      </c>
      <c r="I300" s="6">
        <v>4.9699</v>
      </c>
      <c r="J300" s="5">
        <v>13</v>
      </c>
      <c r="K300" s="7">
        <v>0.74</v>
      </c>
      <c r="L300" s="5">
        <v>5492</v>
      </c>
      <c r="M300" s="6">
        <v>4.93</v>
      </c>
    </row>
    <row r="301" spans="1:13" x14ac:dyDescent="0.35">
      <c r="A301" s="4" t="s">
        <v>175</v>
      </c>
      <c r="B301" s="4" t="s">
        <v>176</v>
      </c>
      <c r="C301" s="4" t="str">
        <f t="shared" si="12"/>
        <v>Spacious Homes in Dombivli | Sunraj Soli</v>
      </c>
      <c r="D301" s="4" t="str">
        <f t="shared" ca="1" si="13"/>
        <v>Last 365 Days</v>
      </c>
      <c r="E301" s="13">
        <v>45728</v>
      </c>
      <c r="F301" s="23">
        <f t="shared" si="14"/>
        <v>45747</v>
      </c>
      <c r="G301" s="5">
        <v>39</v>
      </c>
      <c r="H301" s="5">
        <v>1756</v>
      </c>
      <c r="I301" s="6">
        <v>9.1427999999999994</v>
      </c>
      <c r="J301" s="5">
        <v>28</v>
      </c>
      <c r="K301" s="7">
        <v>1.36</v>
      </c>
      <c r="L301" s="5">
        <v>10993</v>
      </c>
      <c r="M301" s="6">
        <v>3.64</v>
      </c>
    </row>
    <row r="302" spans="1:13" x14ac:dyDescent="0.35">
      <c r="A302" s="4" t="s">
        <v>397</v>
      </c>
      <c r="B302" s="4" t="s">
        <v>398</v>
      </c>
      <c r="C302" s="4" t="str">
        <f t="shared" si="12"/>
        <v xml:space="preserve">2BHK Luxury Sample Flat Tour at Triveni </v>
      </c>
      <c r="D302" s="4" t="str">
        <f t="shared" ca="1" si="13"/>
        <v>Last 365 Days</v>
      </c>
      <c r="E302" s="13">
        <v>45728</v>
      </c>
      <c r="F302" s="23">
        <f t="shared" si="14"/>
        <v>45747</v>
      </c>
      <c r="G302" s="5">
        <v>50</v>
      </c>
      <c r="H302" s="5">
        <v>1134</v>
      </c>
      <c r="I302" s="6">
        <v>6.3010000000000002</v>
      </c>
      <c r="J302" s="5">
        <v>18</v>
      </c>
      <c r="K302" s="7">
        <v>0.66700000000000004</v>
      </c>
      <c r="L302" s="5">
        <v>7802</v>
      </c>
      <c r="M302" s="6">
        <v>5.23</v>
      </c>
    </row>
    <row r="303" spans="1:13" x14ac:dyDescent="0.35">
      <c r="A303" s="4" t="s">
        <v>434</v>
      </c>
      <c r="B303" s="4" t="s">
        <v>435</v>
      </c>
      <c r="C303" s="4" t="str">
        <f t="shared" si="12"/>
        <v>Affordable 2BHK Homes in Dombivli | Elit</v>
      </c>
      <c r="D303" s="4" t="str">
        <f t="shared" ca="1" si="13"/>
        <v>Last 365 Days</v>
      </c>
      <c r="E303" s="13">
        <v>45728</v>
      </c>
      <c r="F303" s="23">
        <f t="shared" si="14"/>
        <v>45747</v>
      </c>
      <c r="G303" s="5">
        <v>38</v>
      </c>
      <c r="H303" s="5">
        <v>1055</v>
      </c>
      <c r="I303" s="6">
        <v>5.0540000000000003</v>
      </c>
      <c r="J303" s="5">
        <v>18</v>
      </c>
      <c r="K303" s="7">
        <v>0.81599999999999995</v>
      </c>
      <c r="L303" s="5">
        <v>5223</v>
      </c>
      <c r="M303" s="6">
        <v>5.46</v>
      </c>
    </row>
    <row r="304" spans="1:13" x14ac:dyDescent="0.35">
      <c r="A304" s="4" t="s">
        <v>776</v>
      </c>
      <c r="B304" s="4" t="s">
        <v>925</v>
      </c>
      <c r="C304" s="4" t="str">
        <f t="shared" si="12"/>
        <v xml:space="preserve">New Launch Dombivli East | 1, 2 &amp; 3 BHK </v>
      </c>
      <c r="D304" s="4" t="str">
        <f t="shared" ca="1" si="13"/>
        <v>Last 365 Days</v>
      </c>
      <c r="E304" s="13">
        <v>45727</v>
      </c>
      <c r="F304" s="23">
        <f t="shared" si="14"/>
        <v>45747</v>
      </c>
      <c r="G304" s="5">
        <v>250</v>
      </c>
      <c r="H304" s="5">
        <v>687</v>
      </c>
      <c r="I304" s="6">
        <v>9.2050000000000001</v>
      </c>
      <c r="J304" s="5">
        <v>1</v>
      </c>
      <c r="K304" s="7">
        <v>67.683999999999997</v>
      </c>
      <c r="L304" s="5">
        <v>6284</v>
      </c>
      <c r="M304" s="6">
        <v>9.44</v>
      </c>
    </row>
    <row r="305" spans="1:13" x14ac:dyDescent="0.35">
      <c r="A305" s="4" t="s">
        <v>871</v>
      </c>
      <c r="B305" s="4" t="s">
        <v>872</v>
      </c>
      <c r="C305" s="4" t="str">
        <f t="shared" si="12"/>
        <v>How to Identify Real vs Fake Real Estate</v>
      </c>
      <c r="D305" s="4" t="str">
        <f t="shared" ca="1" si="13"/>
        <v>Last 365 Days</v>
      </c>
      <c r="E305" s="13">
        <v>45727</v>
      </c>
      <c r="F305" s="23">
        <f t="shared" si="14"/>
        <v>45747</v>
      </c>
      <c r="G305" s="5">
        <v>97</v>
      </c>
      <c r="H305" s="5">
        <v>603</v>
      </c>
      <c r="I305" s="6">
        <v>5.8434999999999997</v>
      </c>
      <c r="J305" s="5">
        <v>3</v>
      </c>
      <c r="K305" s="7">
        <v>25.599</v>
      </c>
      <c r="L305" s="5">
        <v>8608</v>
      </c>
      <c r="M305" s="6">
        <v>3.32</v>
      </c>
    </row>
    <row r="306" spans="1:13" x14ac:dyDescent="0.35">
      <c r="A306" s="4" t="s">
        <v>142</v>
      </c>
      <c r="B306" s="4" t="s">
        <v>143</v>
      </c>
      <c r="C306" s="4" t="str">
        <f t="shared" si="12"/>
        <v>Swaminarayan City Dombivli | Luxury Proj</v>
      </c>
      <c r="D306" s="4" t="str">
        <f t="shared" ca="1" si="13"/>
        <v>Last 365 Days</v>
      </c>
      <c r="E306" s="13">
        <v>45725</v>
      </c>
      <c r="F306" s="23">
        <f t="shared" si="14"/>
        <v>45747</v>
      </c>
      <c r="G306" s="5">
        <v>60</v>
      </c>
      <c r="H306" s="5">
        <v>1931</v>
      </c>
      <c r="I306" s="6">
        <v>17.601400000000002</v>
      </c>
      <c r="J306" s="5">
        <v>4</v>
      </c>
      <c r="K306" s="7">
        <v>282.89800000000002</v>
      </c>
      <c r="L306" s="5">
        <v>21257</v>
      </c>
      <c r="M306" s="6">
        <v>6.95</v>
      </c>
    </row>
    <row r="307" spans="1:13" x14ac:dyDescent="0.35">
      <c r="A307" s="4" t="s">
        <v>201</v>
      </c>
      <c r="B307" s="4" t="s">
        <v>202</v>
      </c>
      <c r="C307" s="4" t="str">
        <f t="shared" si="12"/>
        <v>Elite Galaxy Dombivli | Elite Galaxy Sam</v>
      </c>
      <c r="D307" s="4" t="str">
        <f t="shared" ca="1" si="13"/>
        <v>Last 365 Days</v>
      </c>
      <c r="E307" s="13">
        <v>45725</v>
      </c>
      <c r="F307" s="23">
        <f t="shared" si="14"/>
        <v>45747</v>
      </c>
      <c r="G307" s="5">
        <v>56</v>
      </c>
      <c r="H307" s="5">
        <v>1619</v>
      </c>
      <c r="I307" s="6">
        <v>10.631</v>
      </c>
      <c r="J307" s="5">
        <v>26</v>
      </c>
      <c r="K307" s="7">
        <v>1.222</v>
      </c>
      <c r="L307" s="5">
        <v>13480</v>
      </c>
      <c r="M307" s="6">
        <v>5.51</v>
      </c>
    </row>
    <row r="308" spans="1:13" x14ac:dyDescent="0.35">
      <c r="A308" s="4" t="s">
        <v>646</v>
      </c>
      <c r="B308" s="4" t="s">
        <v>647</v>
      </c>
      <c r="C308" s="4" t="str">
        <f t="shared" si="12"/>
        <v xml:space="preserve">Affordable Flats in Kalyan | Ritz Vikas </v>
      </c>
      <c r="D308" s="4" t="str">
        <f t="shared" ca="1" si="13"/>
        <v>Last 365 Days</v>
      </c>
      <c r="E308" s="13">
        <v>45725</v>
      </c>
      <c r="F308" s="23">
        <f t="shared" si="14"/>
        <v>45747</v>
      </c>
      <c r="G308" s="5">
        <v>55</v>
      </c>
      <c r="H308" s="5">
        <v>816</v>
      </c>
      <c r="I308" s="6">
        <v>5.6104000000000003</v>
      </c>
      <c r="J308" s="5">
        <v>44</v>
      </c>
      <c r="K308" s="7">
        <v>0.82499999999999996</v>
      </c>
      <c r="L308" s="5">
        <v>11332</v>
      </c>
      <c r="M308" s="6">
        <v>2.5499999999999998</v>
      </c>
    </row>
    <row r="309" spans="1:13" x14ac:dyDescent="0.35">
      <c r="A309" s="4" t="s">
        <v>785</v>
      </c>
      <c r="B309" s="4" t="s">
        <v>786</v>
      </c>
      <c r="C309" s="4" t="str">
        <f t="shared" si="12"/>
        <v>Best Budget Projects in Kalyan | Top Pro</v>
      </c>
      <c r="D309" s="4" t="str">
        <f t="shared" ca="1" si="13"/>
        <v>Last 365 Days</v>
      </c>
      <c r="E309" s="13">
        <v>45725</v>
      </c>
      <c r="F309" s="23">
        <f t="shared" si="14"/>
        <v>45747</v>
      </c>
      <c r="G309" s="5">
        <v>45</v>
      </c>
      <c r="H309" s="5">
        <v>678</v>
      </c>
      <c r="I309" s="6">
        <v>3.7427000000000001</v>
      </c>
      <c r="J309" s="5">
        <v>21</v>
      </c>
      <c r="K309" s="7">
        <v>0.52100000000000002</v>
      </c>
      <c r="L309" s="5">
        <v>5817</v>
      </c>
      <c r="M309" s="6">
        <v>4.5</v>
      </c>
    </row>
    <row r="310" spans="1:13" x14ac:dyDescent="0.35">
      <c r="A310" s="4" t="s">
        <v>492</v>
      </c>
      <c r="B310" s="4" t="s">
        <v>493</v>
      </c>
      <c r="C310" s="4" t="str">
        <f t="shared" si="12"/>
        <v>Krishna Trident Kalyan East | 2BHK Luxur</v>
      </c>
      <c r="D310" s="4" t="str">
        <f t="shared" ca="1" si="13"/>
        <v>Last 365 Days</v>
      </c>
      <c r="E310" s="13">
        <v>45724</v>
      </c>
      <c r="F310" s="23">
        <f t="shared" si="14"/>
        <v>45747</v>
      </c>
      <c r="G310" s="5">
        <v>50</v>
      </c>
      <c r="H310" s="5">
        <v>975</v>
      </c>
      <c r="I310" s="6">
        <v>6.4489000000000001</v>
      </c>
      <c r="J310" s="5">
        <v>23</v>
      </c>
      <c r="K310" s="7">
        <v>0.67200000000000004</v>
      </c>
      <c r="L310" s="5">
        <v>5620</v>
      </c>
      <c r="M310" s="6">
        <v>5.21</v>
      </c>
    </row>
    <row r="311" spans="1:13" x14ac:dyDescent="0.35">
      <c r="A311" s="4" t="s">
        <v>118</v>
      </c>
      <c r="B311" s="4" t="s">
        <v>119</v>
      </c>
      <c r="C311" s="4" t="str">
        <f t="shared" si="12"/>
        <v>Metro Grande Kalyan 3BHK Sample Flat Tou</v>
      </c>
      <c r="D311" s="4" t="str">
        <f t="shared" ca="1" si="13"/>
        <v>Last 365 Days</v>
      </c>
      <c r="E311" s="13">
        <v>45722</v>
      </c>
      <c r="F311" s="23">
        <f t="shared" si="14"/>
        <v>45747</v>
      </c>
      <c r="G311" s="5">
        <v>49</v>
      </c>
      <c r="H311" s="5">
        <v>2147</v>
      </c>
      <c r="I311" s="6">
        <v>13.4572</v>
      </c>
      <c r="J311" s="5">
        <v>21</v>
      </c>
      <c r="K311" s="7">
        <v>2.0190000000000001</v>
      </c>
      <c r="L311" s="5">
        <v>12299</v>
      </c>
      <c r="M311" s="6">
        <v>7.2</v>
      </c>
    </row>
    <row r="312" spans="1:13" x14ac:dyDescent="0.35">
      <c r="A312" s="4" t="s">
        <v>801</v>
      </c>
      <c r="B312" s="4" t="s">
        <v>802</v>
      </c>
      <c r="C312" s="4" t="str">
        <f t="shared" si="12"/>
        <v>Krishna Trident Kalyan | 1 &amp; 2BHK Luxury</v>
      </c>
      <c r="D312" s="4" t="str">
        <f t="shared" ca="1" si="13"/>
        <v>Last 365 Days</v>
      </c>
      <c r="E312" s="13">
        <v>45722</v>
      </c>
      <c r="F312" s="23">
        <f t="shared" si="14"/>
        <v>45747</v>
      </c>
      <c r="G312" s="5">
        <v>107</v>
      </c>
      <c r="H312" s="5">
        <v>661</v>
      </c>
      <c r="I312" s="6">
        <v>11.3255</v>
      </c>
      <c r="J312" s="5">
        <v>0</v>
      </c>
      <c r="K312" s="7">
        <v>45.628999999999998</v>
      </c>
      <c r="L312" s="5">
        <v>3821</v>
      </c>
      <c r="M312" s="6">
        <v>4.68</v>
      </c>
    </row>
    <row r="313" spans="1:13" x14ac:dyDescent="0.35">
      <c r="A313" s="4" t="s">
        <v>856</v>
      </c>
      <c r="B313" s="4" t="s">
        <v>957</v>
      </c>
      <c r="C313" s="4" t="str">
        <f t="shared" si="12"/>
        <v>Luxury 2 BHK Flats in Dombivli East | Ba</v>
      </c>
      <c r="D313" s="4" t="str">
        <f t="shared" ca="1" si="13"/>
        <v>Last 365 Days</v>
      </c>
      <c r="E313" s="13">
        <v>45722</v>
      </c>
      <c r="F313" s="23">
        <f t="shared" si="14"/>
        <v>45747</v>
      </c>
      <c r="G313" s="5">
        <v>44</v>
      </c>
      <c r="H313" s="5">
        <v>615</v>
      </c>
      <c r="I313" s="6">
        <v>4.3392999999999997</v>
      </c>
      <c r="J313" s="5">
        <v>0</v>
      </c>
      <c r="K313" s="7">
        <v>40.81</v>
      </c>
      <c r="L313" s="5">
        <v>4699</v>
      </c>
      <c r="M313" s="6">
        <v>9.17</v>
      </c>
    </row>
    <row r="314" spans="1:13" x14ac:dyDescent="0.35">
      <c r="A314" s="4" t="s">
        <v>331</v>
      </c>
      <c r="B314" s="4" t="s">
        <v>332</v>
      </c>
      <c r="C314" s="4" t="str">
        <f t="shared" si="12"/>
        <v>Metro Pride 2BHK Sample Flat | 5Min from</v>
      </c>
      <c r="D314" s="4" t="str">
        <f t="shared" ca="1" si="13"/>
        <v>Last 365 Days</v>
      </c>
      <c r="E314" s="13">
        <v>45721</v>
      </c>
      <c r="F314" s="23">
        <f t="shared" si="14"/>
        <v>45747</v>
      </c>
      <c r="G314" s="5">
        <v>57</v>
      </c>
      <c r="H314" s="5">
        <v>1248</v>
      </c>
      <c r="I314" s="6">
        <v>8.7392000000000003</v>
      </c>
      <c r="J314" s="5">
        <v>24</v>
      </c>
      <c r="K314" s="7">
        <v>1.2470000000000001</v>
      </c>
      <c r="L314" s="5">
        <v>13257</v>
      </c>
      <c r="M314" s="6">
        <v>2.99</v>
      </c>
    </row>
    <row r="315" spans="1:13" x14ac:dyDescent="0.35">
      <c r="A315" s="4" t="s">
        <v>557</v>
      </c>
      <c r="B315" s="4" t="s">
        <v>898</v>
      </c>
      <c r="C315" s="4" t="str">
        <f t="shared" si="12"/>
        <v>Metro Luxuria Thakurli | Affordable 2BHK</v>
      </c>
      <c r="D315" s="4" t="str">
        <f t="shared" ca="1" si="13"/>
        <v>Last 365 Days</v>
      </c>
      <c r="E315" s="13">
        <v>45721</v>
      </c>
      <c r="F315" s="23">
        <f t="shared" si="14"/>
        <v>45747</v>
      </c>
      <c r="G315" s="5">
        <v>48</v>
      </c>
      <c r="H315" s="5">
        <v>902</v>
      </c>
      <c r="I315" s="6">
        <v>6.0787000000000004</v>
      </c>
      <c r="J315" s="5">
        <v>23</v>
      </c>
      <c r="K315" s="7">
        <v>0.58199999999999996</v>
      </c>
      <c r="L315" s="5">
        <v>5994</v>
      </c>
      <c r="M315" s="6">
        <v>6.26</v>
      </c>
    </row>
    <row r="316" spans="1:13" x14ac:dyDescent="0.35">
      <c r="A316" s="4" t="s">
        <v>72</v>
      </c>
      <c r="B316" s="4" t="s">
        <v>73</v>
      </c>
      <c r="C316" s="4" t="str">
        <f t="shared" si="12"/>
        <v>Metro Pride Project Model | 1 &amp; 2BHK Fla</v>
      </c>
      <c r="D316" s="4" t="str">
        <f t="shared" ca="1" si="13"/>
        <v>Last 365 Days</v>
      </c>
      <c r="E316" s="13">
        <v>45720</v>
      </c>
      <c r="F316" s="23">
        <f t="shared" si="14"/>
        <v>45747</v>
      </c>
      <c r="G316" s="5">
        <v>36</v>
      </c>
      <c r="H316" s="5">
        <v>3224</v>
      </c>
      <c r="I316" s="6">
        <v>30.8857</v>
      </c>
      <c r="J316" s="5">
        <v>0</v>
      </c>
      <c r="K316" s="7">
        <v>5.476</v>
      </c>
      <c r="L316" s="5">
        <v>2534</v>
      </c>
      <c r="M316" s="6">
        <v>4.46</v>
      </c>
    </row>
    <row r="317" spans="1:13" x14ac:dyDescent="0.35">
      <c r="A317" s="4" t="s">
        <v>578</v>
      </c>
      <c r="B317" s="4" t="s">
        <v>579</v>
      </c>
      <c r="C317" s="4" t="str">
        <f t="shared" si="12"/>
        <v>Premium 1 BHK, 2 BHK Flats Kalyan East |</v>
      </c>
      <c r="D317" s="4" t="str">
        <f t="shared" ca="1" si="13"/>
        <v>Last 365 Days</v>
      </c>
      <c r="E317" s="13">
        <v>45720</v>
      </c>
      <c r="F317" s="23">
        <f t="shared" si="14"/>
        <v>45747</v>
      </c>
      <c r="G317" s="5">
        <v>39</v>
      </c>
      <c r="H317" s="5">
        <v>877</v>
      </c>
      <c r="I317" s="6">
        <v>8.3656000000000006</v>
      </c>
      <c r="J317" s="5">
        <v>0</v>
      </c>
      <c r="K317" s="7">
        <v>6.03</v>
      </c>
      <c r="L317" s="5">
        <v>5451</v>
      </c>
      <c r="M317" s="6">
        <v>3.01</v>
      </c>
    </row>
    <row r="318" spans="1:13" x14ac:dyDescent="0.35">
      <c r="A318" s="4" t="s">
        <v>831</v>
      </c>
      <c r="B318" s="4" t="s">
        <v>832</v>
      </c>
      <c r="C318" s="4" t="str">
        <f t="shared" si="12"/>
        <v>Luxury 1 BHK &amp; 2 BHK Flats in Kalyan Eas</v>
      </c>
      <c r="D318" s="4" t="str">
        <f t="shared" ca="1" si="13"/>
        <v>Last 365 Days</v>
      </c>
      <c r="E318" s="13">
        <v>45720</v>
      </c>
      <c r="F318" s="23">
        <f t="shared" si="14"/>
        <v>45747</v>
      </c>
      <c r="G318" s="5">
        <v>121</v>
      </c>
      <c r="H318" s="5">
        <v>632</v>
      </c>
      <c r="I318" s="6">
        <v>13.2882</v>
      </c>
      <c r="J318" s="5">
        <v>41</v>
      </c>
      <c r="K318" s="7">
        <v>17.689</v>
      </c>
      <c r="L318" s="5">
        <v>6662</v>
      </c>
      <c r="M318" s="6">
        <v>3.39</v>
      </c>
    </row>
    <row r="319" spans="1:13" x14ac:dyDescent="0.35">
      <c r="A319" s="4" t="s">
        <v>178</v>
      </c>
      <c r="B319" s="4" t="s">
        <v>179</v>
      </c>
      <c r="C319" s="4" t="str">
        <f t="shared" si="12"/>
        <v>Metro Pride Thakurli | 1 BHK Flat Tour |</v>
      </c>
      <c r="D319" s="4" t="str">
        <f t="shared" ca="1" si="13"/>
        <v>Last 365 Days</v>
      </c>
      <c r="E319" s="13">
        <v>45718</v>
      </c>
      <c r="F319" s="23">
        <f t="shared" si="14"/>
        <v>45747</v>
      </c>
      <c r="G319" s="5">
        <v>47</v>
      </c>
      <c r="H319" s="5">
        <v>1749</v>
      </c>
      <c r="I319" s="6">
        <v>9.7382000000000009</v>
      </c>
      <c r="J319" s="5">
        <v>20</v>
      </c>
      <c r="K319" s="7">
        <v>1.19</v>
      </c>
      <c r="L319" s="5">
        <v>8599</v>
      </c>
      <c r="M319" s="6">
        <v>6.81</v>
      </c>
    </row>
    <row r="320" spans="1:13" x14ac:dyDescent="0.35">
      <c r="A320" s="4" t="s">
        <v>761</v>
      </c>
      <c r="B320" s="4" t="s">
        <v>762</v>
      </c>
      <c r="C320" s="4" t="str">
        <f t="shared" si="12"/>
        <v>Sagar Homes Kalyan | 2BHK Flat with Balc</v>
      </c>
      <c r="D320" s="4" t="str">
        <f t="shared" ca="1" si="13"/>
        <v>Last 365 Days</v>
      </c>
      <c r="E320" s="13">
        <v>45718</v>
      </c>
      <c r="F320" s="23">
        <f t="shared" si="14"/>
        <v>45747</v>
      </c>
      <c r="G320" s="5">
        <v>105</v>
      </c>
      <c r="H320" s="5">
        <v>712</v>
      </c>
      <c r="I320" s="6">
        <v>13.938599999999999</v>
      </c>
      <c r="J320" s="5">
        <v>0</v>
      </c>
      <c r="K320" s="7">
        <v>10.545</v>
      </c>
      <c r="L320" s="5">
        <v>5023</v>
      </c>
      <c r="M320" s="6">
        <v>3.64</v>
      </c>
    </row>
    <row r="321" spans="1:13" x14ac:dyDescent="0.35">
      <c r="A321" s="4" t="s">
        <v>441</v>
      </c>
      <c r="B321" s="4" t="s">
        <v>442</v>
      </c>
      <c r="C321" s="4" t="str">
        <f t="shared" si="12"/>
        <v>Magus City Kalyan | 1 &amp; 2 BHK Under Cons</v>
      </c>
      <c r="D321" s="4" t="str">
        <f t="shared" ca="1" si="13"/>
        <v>Last 365 Days</v>
      </c>
      <c r="E321" s="13">
        <v>45717</v>
      </c>
      <c r="F321" s="23">
        <f t="shared" si="14"/>
        <v>45747</v>
      </c>
      <c r="G321" s="5">
        <v>73</v>
      </c>
      <c r="H321" s="5">
        <v>1051</v>
      </c>
      <c r="I321" s="6">
        <v>16.8781</v>
      </c>
      <c r="J321" s="5">
        <v>0</v>
      </c>
      <c r="K321" s="7">
        <v>9.5399999999999991</v>
      </c>
      <c r="L321" s="5">
        <v>2909</v>
      </c>
      <c r="M321" s="6">
        <v>5.16</v>
      </c>
    </row>
    <row r="322" spans="1:13" x14ac:dyDescent="0.35">
      <c r="A322" s="4" t="s">
        <v>781</v>
      </c>
      <c r="B322" s="4" t="s">
        <v>782</v>
      </c>
      <c r="C322" s="4" t="str">
        <f t="shared" si="12"/>
        <v>Metro Luxuria Thakurli | Affordable 2 BH</v>
      </c>
      <c r="D322" s="4" t="str">
        <f t="shared" ca="1" si="13"/>
        <v>Last 365 Days</v>
      </c>
      <c r="E322" s="13">
        <v>45717</v>
      </c>
      <c r="F322" s="23">
        <f t="shared" si="14"/>
        <v>45747</v>
      </c>
      <c r="G322" s="5">
        <v>145</v>
      </c>
      <c r="H322" s="5">
        <v>683</v>
      </c>
      <c r="I322" s="6">
        <v>16.548200000000001</v>
      </c>
      <c r="J322" s="5">
        <v>1</v>
      </c>
      <c r="K322" s="7">
        <v>6.4779999999999998</v>
      </c>
      <c r="L322" s="5">
        <v>2529</v>
      </c>
      <c r="M322" s="6">
        <v>4.67</v>
      </c>
    </row>
    <row r="323" spans="1:13" x14ac:dyDescent="0.35">
      <c r="A323" s="4" t="s">
        <v>48</v>
      </c>
      <c r="B323" s="4" t="s">
        <v>881</v>
      </c>
      <c r="C323" s="4" t="str">
        <f t="shared" ref="C323:C386" si="15">LEFT(B323,40)</f>
        <v xml:space="preserve">Birla Vanya Clubhouse Tour | Experience </v>
      </c>
      <c r="D323" s="4" t="str">
        <f t="shared" ref="D323:D386" ca="1" si="16">IF(E323&gt;=TODAY()-28,"Last 28 Days",IF(E323&gt;=TODAY()-90,"Last 90 Days",IF(E323&gt;=TODAY()-365,"Last 365 Days","Older")))</f>
        <v>Last 365 Days</v>
      </c>
      <c r="E323" s="13">
        <v>45716</v>
      </c>
      <c r="F323" s="23">
        <f t="shared" ref="F323:F386" si="17">EOMONTH(E323,0)</f>
        <v>45716</v>
      </c>
      <c r="G323" s="5">
        <v>56</v>
      </c>
      <c r="H323" s="5">
        <v>4407</v>
      </c>
      <c r="I323" s="6">
        <v>32.313000000000002</v>
      </c>
      <c r="J323" s="5">
        <v>21</v>
      </c>
      <c r="K323" s="7">
        <v>4.2320000000000002</v>
      </c>
      <c r="L323" s="5">
        <v>21499</v>
      </c>
      <c r="M323" s="6">
        <v>9</v>
      </c>
    </row>
    <row r="324" spans="1:13" x14ac:dyDescent="0.35">
      <c r="A324" s="4" t="s">
        <v>820</v>
      </c>
      <c r="B324" s="4" t="s">
        <v>821</v>
      </c>
      <c r="C324" s="4" t="str">
        <f t="shared" si="15"/>
        <v>Metro Pride Thakurli | 1 BHK Sample Flat</v>
      </c>
      <c r="D324" s="4" t="str">
        <f t="shared" ca="1" si="16"/>
        <v>Last 365 Days</v>
      </c>
      <c r="E324" s="13">
        <v>45716</v>
      </c>
      <c r="F324" s="23">
        <f t="shared" si="17"/>
        <v>45716</v>
      </c>
      <c r="G324" s="5">
        <v>109</v>
      </c>
      <c r="H324" s="5">
        <v>639</v>
      </c>
      <c r="I324" s="6">
        <v>12.5535</v>
      </c>
      <c r="J324" s="5">
        <v>0</v>
      </c>
      <c r="K324" s="7">
        <v>7.0090000000000003</v>
      </c>
      <c r="L324" s="5">
        <v>2613</v>
      </c>
      <c r="M324" s="6">
        <v>6.35</v>
      </c>
    </row>
    <row r="325" spans="1:13" x14ac:dyDescent="0.35">
      <c r="A325" s="4" t="s">
        <v>382</v>
      </c>
      <c r="B325" s="4" t="s">
        <v>383</v>
      </c>
      <c r="C325" s="4" t="str">
        <f t="shared" si="15"/>
        <v>Kohinoor Highland Dombivli | Luxury Club</v>
      </c>
      <c r="D325" s="4" t="str">
        <f t="shared" ca="1" si="16"/>
        <v>Last 365 Days</v>
      </c>
      <c r="E325" s="13">
        <v>45715</v>
      </c>
      <c r="F325" s="23">
        <f t="shared" si="17"/>
        <v>45716</v>
      </c>
      <c r="G325" s="5">
        <v>102</v>
      </c>
      <c r="H325" s="5">
        <v>1159</v>
      </c>
      <c r="I325" s="6">
        <v>21.4072</v>
      </c>
      <c r="J325" s="5">
        <v>35</v>
      </c>
      <c r="K325" s="7">
        <v>18.291</v>
      </c>
      <c r="L325" s="5">
        <v>6689</v>
      </c>
      <c r="M325" s="6">
        <v>6.31</v>
      </c>
    </row>
    <row r="326" spans="1:13" x14ac:dyDescent="0.35">
      <c r="A326" s="4" t="s">
        <v>76</v>
      </c>
      <c r="B326" s="4" t="s">
        <v>885</v>
      </c>
      <c r="C326" s="4" t="str">
        <f t="shared" si="15"/>
        <v xml:space="preserve">Tharwani Vedant Millenia Clubhouse Tour </v>
      </c>
      <c r="D326" s="4" t="str">
        <f t="shared" ca="1" si="16"/>
        <v>Last 365 Days</v>
      </c>
      <c r="E326" s="13">
        <v>45714</v>
      </c>
      <c r="F326" s="23">
        <f t="shared" si="17"/>
        <v>45716</v>
      </c>
      <c r="G326" s="5">
        <v>58</v>
      </c>
      <c r="H326" s="5">
        <v>3049</v>
      </c>
      <c r="I326" s="6">
        <v>21.8263</v>
      </c>
      <c r="J326" s="5">
        <v>24</v>
      </c>
      <c r="K326" s="7">
        <v>1.7909999999999999</v>
      </c>
      <c r="L326" s="5">
        <v>15362</v>
      </c>
      <c r="M326" s="6">
        <v>8.58</v>
      </c>
    </row>
    <row r="327" spans="1:13" x14ac:dyDescent="0.35">
      <c r="A327" s="4" t="s">
        <v>80</v>
      </c>
      <c r="B327" s="4" t="s">
        <v>81</v>
      </c>
      <c r="C327" s="4" t="str">
        <f t="shared" si="15"/>
        <v xml:space="preserve">Godrej Vihaa Badlapur Project Model | 1 </v>
      </c>
      <c r="D327" s="4" t="str">
        <f t="shared" ca="1" si="16"/>
        <v>Last 365 Days</v>
      </c>
      <c r="E327" s="13">
        <v>45713</v>
      </c>
      <c r="F327" s="23">
        <f t="shared" si="17"/>
        <v>45716</v>
      </c>
      <c r="G327" s="5">
        <v>29</v>
      </c>
      <c r="H327" s="5">
        <v>2712</v>
      </c>
      <c r="I327" s="6">
        <v>11.8742</v>
      </c>
      <c r="J327" s="5">
        <v>19</v>
      </c>
      <c r="K327" s="7">
        <v>1.661</v>
      </c>
      <c r="L327" s="5">
        <v>15262</v>
      </c>
      <c r="M327" s="6">
        <v>6.58</v>
      </c>
    </row>
    <row r="328" spans="1:13" x14ac:dyDescent="0.35">
      <c r="A328" s="4" t="s">
        <v>63</v>
      </c>
      <c r="B328" s="4" t="s">
        <v>64</v>
      </c>
      <c r="C328" s="4" t="str">
        <f t="shared" si="15"/>
        <v>Mohan Alcoves Badlapur Project Model | 1</v>
      </c>
      <c r="D328" s="4" t="str">
        <f t="shared" ca="1" si="16"/>
        <v>Older</v>
      </c>
      <c r="E328" s="13">
        <v>45711</v>
      </c>
      <c r="F328" s="23">
        <f t="shared" si="17"/>
        <v>45716</v>
      </c>
      <c r="G328" s="5">
        <v>27</v>
      </c>
      <c r="H328" s="5">
        <v>3618</v>
      </c>
      <c r="I328" s="6">
        <v>13.8992</v>
      </c>
      <c r="J328" s="5">
        <v>26</v>
      </c>
      <c r="K328" s="7">
        <v>1.9930000000000001</v>
      </c>
      <c r="L328" s="5">
        <v>19549</v>
      </c>
      <c r="M328" s="6">
        <v>7.43</v>
      </c>
    </row>
    <row r="329" spans="1:13" x14ac:dyDescent="0.35">
      <c r="A329" s="4" t="s">
        <v>690</v>
      </c>
      <c r="B329" s="4" t="s">
        <v>691</v>
      </c>
      <c r="C329" s="4" t="str">
        <f t="shared" si="15"/>
        <v>Codename Malabar Hill Badlapur 2BHK Samp</v>
      </c>
      <c r="D329" s="4" t="str">
        <f t="shared" ca="1" si="16"/>
        <v>Older</v>
      </c>
      <c r="E329" s="13">
        <v>45711</v>
      </c>
      <c r="F329" s="23">
        <f t="shared" si="17"/>
        <v>45716</v>
      </c>
      <c r="G329" s="5">
        <v>54</v>
      </c>
      <c r="H329" s="5">
        <v>778</v>
      </c>
      <c r="I329" s="6">
        <v>4.7904999999999998</v>
      </c>
      <c r="J329" s="5">
        <v>14</v>
      </c>
      <c r="K329" s="7">
        <v>1.1299999999999999</v>
      </c>
      <c r="L329" s="5">
        <v>4360</v>
      </c>
      <c r="M329" s="6">
        <v>3.56</v>
      </c>
    </row>
    <row r="330" spans="1:13" x14ac:dyDescent="0.35">
      <c r="A330" s="4" t="s">
        <v>58</v>
      </c>
      <c r="B330" s="4" t="s">
        <v>59</v>
      </c>
      <c r="C330" s="4" t="str">
        <f t="shared" si="15"/>
        <v>Tharwani Vedant Nakshatra | 2 BHK Flat i</v>
      </c>
      <c r="D330" s="4" t="str">
        <f t="shared" ca="1" si="16"/>
        <v>Older</v>
      </c>
      <c r="E330" s="13">
        <v>45710</v>
      </c>
      <c r="F330" s="23">
        <f t="shared" si="17"/>
        <v>45716</v>
      </c>
      <c r="G330" s="5">
        <v>53</v>
      </c>
      <c r="H330" s="5">
        <v>3773</v>
      </c>
      <c r="I330" s="6">
        <v>23.662199999999999</v>
      </c>
      <c r="J330" s="5">
        <v>8</v>
      </c>
      <c r="K330" s="7">
        <v>2.3319999999999999</v>
      </c>
      <c r="L330" s="5">
        <v>18887</v>
      </c>
      <c r="M330" s="6">
        <v>10.01</v>
      </c>
    </row>
    <row r="331" spans="1:13" x14ac:dyDescent="0.35">
      <c r="A331" s="4" t="s">
        <v>502</v>
      </c>
      <c r="B331" s="4" t="s">
        <v>503</v>
      </c>
      <c r="C331" s="4" t="str">
        <f t="shared" si="15"/>
        <v>Spacious 2BHK Sample Flat Tour | Tulsi A</v>
      </c>
      <c r="D331" s="4" t="str">
        <f t="shared" ca="1" si="16"/>
        <v>Older</v>
      </c>
      <c r="E331" s="13">
        <v>45710</v>
      </c>
      <c r="F331" s="23">
        <f t="shared" si="17"/>
        <v>45716</v>
      </c>
      <c r="G331" s="5">
        <v>53</v>
      </c>
      <c r="H331" s="5">
        <v>968</v>
      </c>
      <c r="I331" s="6">
        <v>5.4241000000000001</v>
      </c>
      <c r="J331" s="5">
        <v>20</v>
      </c>
      <c r="K331" s="7">
        <v>0.61499999999999999</v>
      </c>
      <c r="L331" s="5">
        <v>6894</v>
      </c>
      <c r="M331" s="6">
        <v>4.21</v>
      </c>
    </row>
    <row r="332" spans="1:13" x14ac:dyDescent="0.35">
      <c r="A332" s="4" t="s">
        <v>535</v>
      </c>
      <c r="B332" s="4" t="s">
        <v>536</v>
      </c>
      <c r="C332" s="4" t="str">
        <f t="shared" si="15"/>
        <v>Tata Amantra Clubhouse Tour | 2 &amp; 3BHK L</v>
      </c>
      <c r="D332" s="4" t="str">
        <f t="shared" ca="1" si="16"/>
        <v>Older</v>
      </c>
      <c r="E332" s="13">
        <v>45710</v>
      </c>
      <c r="F332" s="23">
        <f t="shared" si="17"/>
        <v>45716</v>
      </c>
      <c r="G332" s="5">
        <v>160</v>
      </c>
      <c r="H332" s="5">
        <v>931</v>
      </c>
      <c r="I332" s="6">
        <v>28.054500000000001</v>
      </c>
      <c r="J332" s="5">
        <v>0</v>
      </c>
      <c r="K332" s="7">
        <v>49.569000000000003</v>
      </c>
      <c r="L332" s="5">
        <v>4263</v>
      </c>
      <c r="M332" s="6">
        <v>3.19</v>
      </c>
    </row>
    <row r="333" spans="1:13" x14ac:dyDescent="0.35">
      <c r="A333" s="4" t="s">
        <v>37</v>
      </c>
      <c r="B333" s="4" t="s">
        <v>38</v>
      </c>
      <c r="C333" s="4" t="str">
        <f t="shared" si="15"/>
        <v>Tharwani Vedant Millenia 1 BHK Sample Fl</v>
      </c>
      <c r="D333" s="4" t="str">
        <f t="shared" ca="1" si="16"/>
        <v>Older</v>
      </c>
      <c r="E333" s="13">
        <v>45709</v>
      </c>
      <c r="F333" s="23">
        <f t="shared" si="17"/>
        <v>45716</v>
      </c>
      <c r="G333" s="5">
        <v>42</v>
      </c>
      <c r="H333" s="5">
        <v>5274</v>
      </c>
      <c r="I333" s="6">
        <v>28.576000000000001</v>
      </c>
      <c r="J333" s="5">
        <v>7</v>
      </c>
      <c r="K333" s="7">
        <v>2.6360000000000001</v>
      </c>
      <c r="L333" s="5">
        <v>33833</v>
      </c>
      <c r="M333" s="6">
        <v>6.86</v>
      </c>
    </row>
    <row r="334" spans="1:13" x14ac:dyDescent="0.35">
      <c r="A334" s="4" t="s">
        <v>94</v>
      </c>
      <c r="B334" s="4" t="s">
        <v>95</v>
      </c>
      <c r="C334" s="4" t="str">
        <f t="shared" si="15"/>
        <v xml:space="preserve">A1 Living Titwala | Premium 1BHK Sample </v>
      </c>
      <c r="D334" s="4" t="str">
        <f t="shared" ca="1" si="16"/>
        <v>Older</v>
      </c>
      <c r="E334" s="13">
        <v>45709</v>
      </c>
      <c r="F334" s="23">
        <f t="shared" si="17"/>
        <v>45716</v>
      </c>
      <c r="G334" s="5">
        <v>49</v>
      </c>
      <c r="H334" s="5">
        <v>2359</v>
      </c>
      <c r="I334" s="6">
        <v>14.3507</v>
      </c>
      <c r="J334" s="5">
        <v>7</v>
      </c>
      <c r="K334" s="7">
        <v>1.0840000000000001</v>
      </c>
      <c r="L334" s="5">
        <v>15292</v>
      </c>
      <c r="M334" s="6">
        <v>6.26</v>
      </c>
    </row>
    <row r="335" spans="1:13" x14ac:dyDescent="0.35">
      <c r="A335" s="4" t="s">
        <v>236</v>
      </c>
      <c r="B335" s="4" t="s">
        <v>237</v>
      </c>
      <c r="C335" s="4" t="str">
        <f t="shared" si="15"/>
        <v>Tulsi Aawas Badlapur | Premium 2BHK Samp</v>
      </c>
      <c r="D335" s="4" t="str">
        <f t="shared" ca="1" si="16"/>
        <v>Older</v>
      </c>
      <c r="E335" s="13">
        <v>45709</v>
      </c>
      <c r="F335" s="23">
        <f t="shared" si="17"/>
        <v>45716</v>
      </c>
      <c r="G335" s="5">
        <v>117</v>
      </c>
      <c r="H335" s="5">
        <v>1512</v>
      </c>
      <c r="I335" s="6">
        <v>30.180599999999998</v>
      </c>
      <c r="J335" s="5">
        <v>0</v>
      </c>
      <c r="K335" s="7">
        <v>26.067</v>
      </c>
      <c r="L335" s="5">
        <v>5225</v>
      </c>
      <c r="M335" s="6">
        <v>8.59</v>
      </c>
    </row>
    <row r="336" spans="1:13" x14ac:dyDescent="0.35">
      <c r="A336" s="4" t="s">
        <v>100</v>
      </c>
      <c r="B336" s="4" t="s">
        <v>101</v>
      </c>
      <c r="C336" s="4" t="str">
        <f t="shared" si="15"/>
        <v xml:space="preserve">Codename Malabar Hill Badlapur | Luxury </v>
      </c>
      <c r="D336" s="4" t="str">
        <f t="shared" ca="1" si="16"/>
        <v>Older</v>
      </c>
      <c r="E336" s="13">
        <v>45708</v>
      </c>
      <c r="F336" s="23">
        <f t="shared" si="17"/>
        <v>45716</v>
      </c>
      <c r="G336" s="5">
        <v>100</v>
      </c>
      <c r="H336" s="5">
        <v>2335</v>
      </c>
      <c r="I336" s="6">
        <v>52.381999999999998</v>
      </c>
      <c r="J336" s="5">
        <v>0</v>
      </c>
      <c r="K336" s="7">
        <v>14.151</v>
      </c>
      <c r="L336" s="5">
        <v>2402</v>
      </c>
      <c r="M336" s="6">
        <v>6.54</v>
      </c>
    </row>
    <row r="337" spans="1:13" x14ac:dyDescent="0.35">
      <c r="A337" s="4" t="s">
        <v>104</v>
      </c>
      <c r="B337" s="4" t="s">
        <v>105</v>
      </c>
      <c r="C337" s="4" t="str">
        <f t="shared" si="15"/>
        <v>Sai Mauli Titwala | Spacious 2BHK Sample</v>
      </c>
      <c r="D337" s="4" t="str">
        <f t="shared" ca="1" si="16"/>
        <v>Older</v>
      </c>
      <c r="E337" s="13">
        <v>45707</v>
      </c>
      <c r="F337" s="23">
        <f t="shared" si="17"/>
        <v>45716</v>
      </c>
      <c r="G337" s="5">
        <v>84</v>
      </c>
      <c r="H337" s="5">
        <v>2271</v>
      </c>
      <c r="I337" s="6">
        <v>43.232599999999998</v>
      </c>
      <c r="J337" s="5">
        <v>0</v>
      </c>
      <c r="K337" s="7">
        <v>13.417</v>
      </c>
      <c r="L337" s="5">
        <v>4673</v>
      </c>
      <c r="M337" s="6">
        <v>3.64</v>
      </c>
    </row>
    <row r="338" spans="1:13" x14ac:dyDescent="0.35">
      <c r="A338" s="4" t="s">
        <v>110</v>
      </c>
      <c r="B338" s="4" t="s">
        <v>111</v>
      </c>
      <c r="C338" s="4" t="str">
        <f t="shared" si="15"/>
        <v>Godrej Vihaa Badlapur | Luxury 1BHK Samp</v>
      </c>
      <c r="D338" s="4" t="str">
        <f t="shared" ca="1" si="16"/>
        <v>Older</v>
      </c>
      <c r="E338" s="13">
        <v>45707</v>
      </c>
      <c r="F338" s="23">
        <f t="shared" si="17"/>
        <v>45716</v>
      </c>
      <c r="G338" s="5">
        <v>122</v>
      </c>
      <c r="H338" s="5">
        <v>2199</v>
      </c>
      <c r="I338" s="6">
        <v>49.271900000000002</v>
      </c>
      <c r="J338" s="5">
        <v>1</v>
      </c>
      <c r="K338" s="7">
        <v>51.634999999999998</v>
      </c>
      <c r="L338" s="5">
        <v>8285</v>
      </c>
      <c r="M338" s="6">
        <v>4.71</v>
      </c>
    </row>
    <row r="339" spans="1:13" x14ac:dyDescent="0.35">
      <c r="A339" s="4" t="s">
        <v>304</v>
      </c>
      <c r="B339" s="4" t="s">
        <v>305</v>
      </c>
      <c r="C339" s="4" t="str">
        <f t="shared" si="15"/>
        <v>Godrej Vihaa Sky Garden Badlapur | Luxur</v>
      </c>
      <c r="D339" s="4" t="str">
        <f t="shared" ca="1" si="16"/>
        <v>Older</v>
      </c>
      <c r="E339" s="13">
        <v>45707</v>
      </c>
      <c r="F339" s="23">
        <f t="shared" si="17"/>
        <v>45716</v>
      </c>
      <c r="G339" s="5">
        <v>54</v>
      </c>
      <c r="H339" s="5">
        <v>1282</v>
      </c>
      <c r="I339" s="6">
        <v>7.2172999999999998</v>
      </c>
      <c r="J339" s="5">
        <v>4</v>
      </c>
      <c r="K339" s="7">
        <v>1.397</v>
      </c>
      <c r="L339" s="5">
        <v>8669</v>
      </c>
      <c r="M339" s="6">
        <v>5.09</v>
      </c>
    </row>
    <row r="340" spans="1:13" x14ac:dyDescent="0.35">
      <c r="A340" s="4" t="s">
        <v>838</v>
      </c>
      <c r="B340" s="4" t="s">
        <v>927</v>
      </c>
      <c r="C340" s="4" t="str">
        <f t="shared" si="15"/>
        <v>1 BHK Flat in Titwala | starts 17.5 Lakh</v>
      </c>
      <c r="D340" s="4" t="str">
        <f t="shared" ca="1" si="16"/>
        <v>Older</v>
      </c>
      <c r="E340" s="13">
        <v>45707</v>
      </c>
      <c r="F340" s="23">
        <f t="shared" si="17"/>
        <v>45716</v>
      </c>
      <c r="G340" s="5">
        <v>102</v>
      </c>
      <c r="H340" s="5">
        <v>630</v>
      </c>
      <c r="I340" s="6">
        <v>7.6596000000000002</v>
      </c>
      <c r="J340" s="5">
        <v>1</v>
      </c>
      <c r="K340" s="7">
        <v>51.923999999999999</v>
      </c>
      <c r="L340" s="5">
        <v>5426</v>
      </c>
      <c r="M340" s="6">
        <v>8.0399999999999991</v>
      </c>
    </row>
    <row r="341" spans="1:13" x14ac:dyDescent="0.35">
      <c r="A341" s="4" t="s">
        <v>52</v>
      </c>
      <c r="B341" s="4" t="s">
        <v>53</v>
      </c>
      <c r="C341" s="4" t="str">
        <f t="shared" si="15"/>
        <v>Shubharambh Titwala 1BHK Sample Flat Tou</v>
      </c>
      <c r="D341" s="4" t="str">
        <f t="shared" ca="1" si="16"/>
        <v>Older</v>
      </c>
      <c r="E341" s="13">
        <v>45706</v>
      </c>
      <c r="F341" s="23">
        <f t="shared" si="17"/>
        <v>45716</v>
      </c>
      <c r="G341" s="5">
        <v>102</v>
      </c>
      <c r="H341" s="5">
        <v>4118</v>
      </c>
      <c r="I341" s="6">
        <v>69.450699999999998</v>
      </c>
      <c r="J341" s="5">
        <v>15</v>
      </c>
      <c r="K341" s="7">
        <v>169.92400000000001</v>
      </c>
      <c r="L341" s="5">
        <v>22890</v>
      </c>
      <c r="M341" s="6">
        <v>10.38</v>
      </c>
    </row>
    <row r="342" spans="1:13" x14ac:dyDescent="0.35">
      <c r="A342" s="4" t="s">
        <v>217</v>
      </c>
      <c r="B342" s="4" t="s">
        <v>218</v>
      </c>
      <c r="C342" s="4" t="str">
        <f t="shared" si="15"/>
        <v>Sai Mauli Titwala | Stunning 1BHK Sample</v>
      </c>
      <c r="D342" s="4" t="str">
        <f t="shared" ca="1" si="16"/>
        <v>Older</v>
      </c>
      <c r="E342" s="13">
        <v>45706</v>
      </c>
      <c r="F342" s="23">
        <f t="shared" si="17"/>
        <v>45716</v>
      </c>
      <c r="G342" s="5">
        <v>77</v>
      </c>
      <c r="H342" s="5">
        <v>1570</v>
      </c>
      <c r="I342" s="6">
        <v>26.6313</v>
      </c>
      <c r="J342" s="5">
        <v>0</v>
      </c>
      <c r="K342" s="7">
        <v>16.22</v>
      </c>
      <c r="L342" s="5">
        <v>4794</v>
      </c>
      <c r="M342" s="6">
        <v>5.78</v>
      </c>
    </row>
    <row r="343" spans="1:13" x14ac:dyDescent="0.35">
      <c r="A343" s="4" t="s">
        <v>528</v>
      </c>
      <c r="B343" s="4" t="s">
        <v>529</v>
      </c>
      <c r="C343" s="4" t="str">
        <f t="shared" si="15"/>
        <v>Mangeshi Jupiter 2BHK Sample Flat Tour |</v>
      </c>
      <c r="D343" s="4" t="str">
        <f t="shared" ca="1" si="16"/>
        <v>Older</v>
      </c>
      <c r="E343" s="13">
        <v>45706</v>
      </c>
      <c r="F343" s="23">
        <f t="shared" si="17"/>
        <v>45716</v>
      </c>
      <c r="G343" s="5">
        <v>56</v>
      </c>
      <c r="H343" s="5">
        <v>935</v>
      </c>
      <c r="I343" s="6">
        <v>6.2065000000000001</v>
      </c>
      <c r="J343" s="5">
        <v>10</v>
      </c>
      <c r="K343" s="7">
        <v>1.127</v>
      </c>
      <c r="L343" s="5">
        <v>5213</v>
      </c>
      <c r="M343" s="6">
        <v>6</v>
      </c>
    </row>
    <row r="344" spans="1:13" x14ac:dyDescent="0.35">
      <c r="A344" s="4" t="s">
        <v>783</v>
      </c>
      <c r="B344" s="4" t="s">
        <v>784</v>
      </c>
      <c r="C344" s="4" t="str">
        <f t="shared" si="15"/>
        <v xml:space="preserve">Rustagi Aarambha | Luxury 1 BHK &amp; 2 BHK </v>
      </c>
      <c r="D344" s="4" t="str">
        <f t="shared" ca="1" si="16"/>
        <v>Older</v>
      </c>
      <c r="E344" s="13">
        <v>45706</v>
      </c>
      <c r="F344" s="23">
        <f t="shared" si="17"/>
        <v>45716</v>
      </c>
      <c r="G344" s="5">
        <v>47</v>
      </c>
      <c r="H344" s="5">
        <v>681</v>
      </c>
      <c r="I344" s="6">
        <v>5.2213000000000003</v>
      </c>
      <c r="J344" s="5">
        <v>1</v>
      </c>
      <c r="K344" s="7">
        <v>74.363</v>
      </c>
      <c r="L344" s="5">
        <v>3763</v>
      </c>
      <c r="M344" s="6">
        <v>13.26</v>
      </c>
    </row>
    <row r="345" spans="1:13" x14ac:dyDescent="0.35">
      <c r="A345" s="4" t="s">
        <v>26</v>
      </c>
      <c r="B345" s="4" t="s">
        <v>27</v>
      </c>
      <c r="C345" s="4" t="str">
        <f t="shared" si="15"/>
        <v>Shubharambh Titwala | Premium 1 BHK Samp</v>
      </c>
      <c r="D345" s="4" t="str">
        <f t="shared" ca="1" si="16"/>
        <v>Older</v>
      </c>
      <c r="E345" s="13">
        <v>45704</v>
      </c>
      <c r="F345" s="23">
        <f t="shared" si="17"/>
        <v>45716</v>
      </c>
      <c r="G345" s="5">
        <v>60</v>
      </c>
      <c r="H345" s="5">
        <v>9038</v>
      </c>
      <c r="I345" s="6">
        <v>57.1126</v>
      </c>
      <c r="J345" s="5">
        <v>22</v>
      </c>
      <c r="K345" s="7">
        <v>4.0049999999999999</v>
      </c>
      <c r="L345" s="5">
        <v>57371</v>
      </c>
      <c r="M345" s="6">
        <v>6.47</v>
      </c>
    </row>
    <row r="346" spans="1:13" x14ac:dyDescent="0.35">
      <c r="A346" s="4" t="s">
        <v>168</v>
      </c>
      <c r="B346" s="4" t="s">
        <v>169</v>
      </c>
      <c r="C346" s="4" t="str">
        <f t="shared" si="15"/>
        <v>Tharwani Vedant Millenia 2BHK Spacious F</v>
      </c>
      <c r="D346" s="4" t="str">
        <f t="shared" ca="1" si="16"/>
        <v>Older</v>
      </c>
      <c r="E346" s="13">
        <v>45704</v>
      </c>
      <c r="F346" s="23">
        <f t="shared" si="17"/>
        <v>45716</v>
      </c>
      <c r="G346" s="5">
        <v>189</v>
      </c>
      <c r="H346" s="5">
        <v>1783</v>
      </c>
      <c r="I346" s="6">
        <v>53.8</v>
      </c>
      <c r="J346" s="5">
        <v>2</v>
      </c>
      <c r="K346" s="7">
        <v>0.63100000000000001</v>
      </c>
      <c r="L346" s="5">
        <v>7749</v>
      </c>
      <c r="M346" s="6">
        <v>9.56</v>
      </c>
    </row>
    <row r="347" spans="1:13" x14ac:dyDescent="0.35">
      <c r="A347" s="4" t="s">
        <v>366</v>
      </c>
      <c r="B347" s="4" t="s">
        <v>984</v>
      </c>
      <c r="C347" s="4" t="str">
        <f t="shared" si="15"/>
        <v>Sai Mauli Titwala | Premium 1BHK Sample</v>
      </c>
      <c r="D347" s="4" t="str">
        <f t="shared" ca="1" si="16"/>
        <v>Older</v>
      </c>
      <c r="E347" s="13">
        <v>45704</v>
      </c>
      <c r="F347" s="23">
        <f t="shared" si="17"/>
        <v>45716</v>
      </c>
      <c r="G347" s="5">
        <v>52</v>
      </c>
      <c r="H347" s="5">
        <v>1182</v>
      </c>
      <c r="I347" s="6">
        <v>8.1822999999999997</v>
      </c>
      <c r="J347" s="5">
        <v>8</v>
      </c>
      <c r="K347" s="7">
        <v>0.70299999999999996</v>
      </c>
      <c r="L347" s="5">
        <v>8328</v>
      </c>
      <c r="M347" s="6">
        <v>6.03</v>
      </c>
    </row>
    <row r="348" spans="1:13" x14ac:dyDescent="0.35">
      <c r="A348" s="4" t="s">
        <v>120</v>
      </c>
      <c r="B348" s="4" t="s">
        <v>121</v>
      </c>
      <c r="C348" s="4" t="str">
        <f t="shared" si="15"/>
        <v>Tharwani Majestic Tower 2BHK Sample Flat</v>
      </c>
      <c r="D348" s="4" t="str">
        <f t="shared" ca="1" si="16"/>
        <v>Older</v>
      </c>
      <c r="E348" s="13">
        <v>45703</v>
      </c>
      <c r="F348" s="23">
        <f t="shared" si="17"/>
        <v>45716</v>
      </c>
      <c r="G348" s="5">
        <v>58</v>
      </c>
      <c r="H348" s="5">
        <v>2143</v>
      </c>
      <c r="I348" s="6">
        <v>14.7613</v>
      </c>
      <c r="J348" s="5">
        <v>4</v>
      </c>
      <c r="K348" s="7">
        <v>1.4610000000000001</v>
      </c>
      <c r="L348" s="5">
        <v>10484</v>
      </c>
      <c r="M348" s="6">
        <v>10.33</v>
      </c>
    </row>
    <row r="349" spans="1:13" x14ac:dyDescent="0.35">
      <c r="A349" s="4" t="s">
        <v>593</v>
      </c>
      <c r="B349" s="4" t="s">
        <v>923</v>
      </c>
      <c r="C349" s="4" t="str">
        <f t="shared" si="15"/>
        <v>Mohan Alcoves Badlapur | 1 BHK Flats Sta</v>
      </c>
      <c r="D349" s="4" t="str">
        <f t="shared" ca="1" si="16"/>
        <v>Older</v>
      </c>
      <c r="E349" s="13">
        <v>45703</v>
      </c>
      <c r="F349" s="23">
        <f t="shared" si="17"/>
        <v>45716</v>
      </c>
      <c r="G349" s="5">
        <v>160</v>
      </c>
      <c r="H349" s="5">
        <v>848</v>
      </c>
      <c r="I349" s="6">
        <v>18.874099999999999</v>
      </c>
      <c r="J349" s="5">
        <v>0</v>
      </c>
      <c r="K349" s="7">
        <v>13.132999999999999</v>
      </c>
      <c r="L349" s="5">
        <v>2881</v>
      </c>
      <c r="M349" s="6">
        <v>5.97</v>
      </c>
    </row>
    <row r="350" spans="1:13" x14ac:dyDescent="0.35">
      <c r="A350" s="4" t="s">
        <v>85</v>
      </c>
      <c r="B350" s="4" t="s">
        <v>887</v>
      </c>
      <c r="C350" s="4" t="str">
        <f t="shared" si="15"/>
        <v>TATA Amantra 2BHK Sample Flat Tour | Cal</v>
      </c>
      <c r="D350" s="4" t="str">
        <f t="shared" ca="1" si="16"/>
        <v>Older</v>
      </c>
      <c r="E350" s="13">
        <v>45702</v>
      </c>
      <c r="F350" s="23">
        <f t="shared" si="17"/>
        <v>45716</v>
      </c>
      <c r="G350" s="5">
        <v>61</v>
      </c>
      <c r="H350" s="5">
        <v>2595</v>
      </c>
      <c r="I350" s="6">
        <v>20.6297</v>
      </c>
      <c r="J350" s="5">
        <v>4</v>
      </c>
      <c r="K350" s="7">
        <v>1.786</v>
      </c>
      <c r="L350" s="5">
        <v>11146</v>
      </c>
      <c r="M350" s="6">
        <v>10.99</v>
      </c>
    </row>
    <row r="351" spans="1:13" x14ac:dyDescent="0.35">
      <c r="A351" s="4" t="s">
        <v>288</v>
      </c>
      <c r="B351" s="4" t="s">
        <v>289</v>
      </c>
      <c r="C351" s="4" t="str">
        <f t="shared" si="15"/>
        <v>Inside Tharwani Majestic Towers Kalyan |</v>
      </c>
      <c r="D351" s="4" t="str">
        <f t="shared" ca="1" si="16"/>
        <v>Older</v>
      </c>
      <c r="E351" s="13">
        <v>45702</v>
      </c>
      <c r="F351" s="23">
        <f t="shared" si="17"/>
        <v>45716</v>
      </c>
      <c r="G351" s="5">
        <v>148</v>
      </c>
      <c r="H351" s="5">
        <v>1327</v>
      </c>
      <c r="I351" s="6">
        <v>30.229700000000001</v>
      </c>
      <c r="J351" s="5">
        <v>0</v>
      </c>
      <c r="K351" s="7">
        <v>30.425000000000001</v>
      </c>
      <c r="L351" s="5">
        <v>5959</v>
      </c>
      <c r="M351" s="6">
        <v>7.38</v>
      </c>
    </row>
    <row r="352" spans="1:13" x14ac:dyDescent="0.35">
      <c r="A352" s="4" t="s">
        <v>70</v>
      </c>
      <c r="B352" s="4" t="s">
        <v>71</v>
      </c>
      <c r="C352" s="4" t="str">
        <f t="shared" si="15"/>
        <v>Rustomjee Dombivli New Launch | Upcoming</v>
      </c>
      <c r="D352" s="4" t="str">
        <f t="shared" ca="1" si="16"/>
        <v>Older</v>
      </c>
      <c r="E352" s="13">
        <v>45701</v>
      </c>
      <c r="F352" s="23">
        <f t="shared" si="17"/>
        <v>45716</v>
      </c>
      <c r="G352" s="5">
        <v>32</v>
      </c>
      <c r="H352" s="5">
        <v>3239</v>
      </c>
      <c r="I352" s="6">
        <v>21.9621</v>
      </c>
      <c r="J352" s="5">
        <v>2</v>
      </c>
      <c r="K352" s="7">
        <v>1.286</v>
      </c>
      <c r="L352" s="5">
        <v>11505</v>
      </c>
      <c r="M352" s="6">
        <v>7.16</v>
      </c>
    </row>
    <row r="353" spans="1:13" x14ac:dyDescent="0.35">
      <c r="A353" s="4" t="s">
        <v>234</v>
      </c>
      <c r="B353" s="4" t="s">
        <v>235</v>
      </c>
      <c r="C353" s="4" t="str">
        <f t="shared" si="15"/>
        <v xml:space="preserve">Rustomjee Dombivli | 1, 2 &amp; 3BHK Luxury </v>
      </c>
      <c r="D353" s="4" t="str">
        <f t="shared" ca="1" si="16"/>
        <v>Older</v>
      </c>
      <c r="E353" s="13">
        <v>45701</v>
      </c>
      <c r="F353" s="23">
        <f t="shared" si="17"/>
        <v>45716</v>
      </c>
      <c r="G353" s="5">
        <v>79</v>
      </c>
      <c r="H353" s="5">
        <v>1526</v>
      </c>
      <c r="I353" s="6">
        <v>25.085699999999999</v>
      </c>
      <c r="J353" s="5">
        <v>3</v>
      </c>
      <c r="K353" s="7">
        <v>28.934000000000001</v>
      </c>
      <c r="L353" s="5">
        <v>5174</v>
      </c>
      <c r="M353" s="6">
        <v>5.53</v>
      </c>
    </row>
    <row r="354" spans="1:13" x14ac:dyDescent="0.35">
      <c r="A354" s="4" t="s">
        <v>787</v>
      </c>
      <c r="B354" s="4" t="s">
        <v>788</v>
      </c>
      <c r="C354" s="4" t="str">
        <f t="shared" si="15"/>
        <v>Luxury 2BHK Sample Flat Tour | Shreeji L</v>
      </c>
      <c r="D354" s="4" t="str">
        <f t="shared" ca="1" si="16"/>
        <v>Older</v>
      </c>
      <c r="E354" s="13">
        <v>45701</v>
      </c>
      <c r="F354" s="23">
        <f t="shared" si="17"/>
        <v>45716</v>
      </c>
      <c r="G354" s="5">
        <v>72</v>
      </c>
      <c r="H354" s="5">
        <v>677</v>
      </c>
      <c r="I354" s="6">
        <v>5.3177000000000003</v>
      </c>
      <c r="J354" s="5">
        <v>8</v>
      </c>
      <c r="K354" s="7">
        <v>0.38100000000000001</v>
      </c>
      <c r="L354" s="5">
        <v>4554</v>
      </c>
      <c r="M354" s="6">
        <v>6.7</v>
      </c>
    </row>
    <row r="355" spans="1:13" x14ac:dyDescent="0.35">
      <c r="A355" s="4" t="s">
        <v>122</v>
      </c>
      <c r="B355" s="4" t="s">
        <v>123</v>
      </c>
      <c r="C355" s="4" t="str">
        <f t="shared" si="15"/>
        <v xml:space="preserve">Birla Vanya Clubhouse Tour | Experience </v>
      </c>
      <c r="D355" s="4" t="str">
        <f t="shared" ca="1" si="16"/>
        <v>Older</v>
      </c>
      <c r="E355" s="13">
        <v>45700</v>
      </c>
      <c r="F355" s="23">
        <f t="shared" si="17"/>
        <v>45716</v>
      </c>
      <c r="G355" s="5">
        <v>192</v>
      </c>
      <c r="H355" s="5">
        <v>2139</v>
      </c>
      <c r="I355" s="6">
        <v>67.152199999999993</v>
      </c>
      <c r="J355" s="5">
        <v>1</v>
      </c>
      <c r="K355" s="7">
        <v>5.8769999999999998</v>
      </c>
      <c r="L355" s="5">
        <v>7016</v>
      </c>
      <c r="M355" s="6">
        <v>9.68</v>
      </c>
    </row>
    <row r="356" spans="1:13" x14ac:dyDescent="0.35">
      <c r="A356" s="4" t="s">
        <v>278</v>
      </c>
      <c r="B356" s="4" t="s">
        <v>972</v>
      </c>
      <c r="C356" s="4" t="str">
        <f t="shared" si="15"/>
        <v xml:space="preserve"> Rustomjee Dombivli Luxury Living with </v>
      </c>
      <c r="D356" s="4" t="str">
        <f t="shared" ca="1" si="16"/>
        <v>Older</v>
      </c>
      <c r="E356" s="13">
        <v>45700</v>
      </c>
      <c r="F356" s="23">
        <f t="shared" si="17"/>
        <v>45716</v>
      </c>
      <c r="G356" s="5">
        <v>15</v>
      </c>
      <c r="H356" s="5">
        <v>1365</v>
      </c>
      <c r="I356" s="6">
        <v>3.8464999999999998</v>
      </c>
      <c r="J356" s="5">
        <v>7</v>
      </c>
      <c r="K356" s="7">
        <v>0.85199999999999998</v>
      </c>
      <c r="L356" s="5">
        <v>9594</v>
      </c>
      <c r="M356" s="6">
        <v>4.51</v>
      </c>
    </row>
    <row r="357" spans="1:13" x14ac:dyDescent="0.35">
      <c r="A357" s="4" t="s">
        <v>636</v>
      </c>
      <c r="B357" s="4" t="s">
        <v>955</v>
      </c>
      <c r="C357" s="4" t="str">
        <f t="shared" si="15"/>
        <v>Mohan Alcoves Badlapur | Stunning 2BHK S</v>
      </c>
      <c r="D357" s="4" t="str">
        <f t="shared" ca="1" si="16"/>
        <v>Older</v>
      </c>
      <c r="E357" s="13">
        <v>45700</v>
      </c>
      <c r="F357" s="23">
        <f t="shared" si="17"/>
        <v>45716</v>
      </c>
      <c r="G357" s="5">
        <v>24</v>
      </c>
      <c r="H357" s="5">
        <v>826</v>
      </c>
      <c r="I357" s="6">
        <v>3.1480999999999999</v>
      </c>
      <c r="J357" s="5">
        <v>3</v>
      </c>
      <c r="K357" s="7">
        <v>0.50700000000000001</v>
      </c>
      <c r="L357" s="5">
        <v>6289</v>
      </c>
      <c r="M357" s="6">
        <v>4.9000000000000004</v>
      </c>
    </row>
    <row r="358" spans="1:13" x14ac:dyDescent="0.35">
      <c r="A358" s="4" t="s">
        <v>144</v>
      </c>
      <c r="B358" s="4" t="s">
        <v>145</v>
      </c>
      <c r="C358" s="4" t="str">
        <f t="shared" si="15"/>
        <v>Inside Tata Amantra Kalyan West | Luxury</v>
      </c>
      <c r="D358" s="4" t="str">
        <f t="shared" ca="1" si="16"/>
        <v>Older</v>
      </c>
      <c r="E358" s="13">
        <v>45699</v>
      </c>
      <c r="F358" s="23">
        <f t="shared" si="17"/>
        <v>45716</v>
      </c>
      <c r="G358" s="5">
        <v>151</v>
      </c>
      <c r="H358" s="5">
        <v>1925</v>
      </c>
      <c r="I358" s="6">
        <v>55.802799999999998</v>
      </c>
      <c r="J358" s="5">
        <v>1</v>
      </c>
      <c r="K358" s="7">
        <v>24.945</v>
      </c>
      <c r="L358" s="5">
        <v>3256</v>
      </c>
      <c r="M358" s="6">
        <v>5.31</v>
      </c>
    </row>
    <row r="359" spans="1:13" x14ac:dyDescent="0.35">
      <c r="A359" s="4" t="s">
        <v>293</v>
      </c>
      <c r="B359" s="4" t="s">
        <v>979</v>
      </c>
      <c r="C359" s="4" t="str">
        <f t="shared" si="15"/>
        <v>Tharwani Badlapur West Project| Tharwani</v>
      </c>
      <c r="D359" s="4" t="str">
        <f t="shared" ca="1" si="16"/>
        <v>Older</v>
      </c>
      <c r="E359" s="13">
        <v>45697</v>
      </c>
      <c r="F359" s="23">
        <f t="shared" si="17"/>
        <v>45716</v>
      </c>
      <c r="G359" s="5">
        <v>173</v>
      </c>
      <c r="H359" s="5">
        <v>1314</v>
      </c>
      <c r="I359" s="6">
        <v>23.569600000000001</v>
      </c>
      <c r="J359" s="5">
        <v>2</v>
      </c>
      <c r="K359" s="7">
        <v>59.424999999999997</v>
      </c>
      <c r="L359" s="5">
        <v>7924</v>
      </c>
      <c r="M359" s="6">
        <v>12.67</v>
      </c>
    </row>
    <row r="360" spans="1:13" x14ac:dyDescent="0.35">
      <c r="A360" s="4" t="s">
        <v>92</v>
      </c>
      <c r="B360" s="4" t="s">
        <v>93</v>
      </c>
      <c r="C360" s="4" t="str">
        <f t="shared" si="15"/>
        <v xml:space="preserve">Mohan Alcoves Badlapur | Inside Tour of </v>
      </c>
      <c r="D360" s="4" t="str">
        <f t="shared" ca="1" si="16"/>
        <v>Older</v>
      </c>
      <c r="E360" s="13">
        <v>45695</v>
      </c>
      <c r="F360" s="23">
        <f t="shared" si="17"/>
        <v>45716</v>
      </c>
      <c r="G360" s="5">
        <v>163</v>
      </c>
      <c r="H360" s="5">
        <v>2360</v>
      </c>
      <c r="I360" s="6">
        <v>52.720199999999998</v>
      </c>
      <c r="J360" s="5">
        <v>8</v>
      </c>
      <c r="K360" s="7">
        <v>51.752000000000002</v>
      </c>
      <c r="L360" s="5">
        <v>6216</v>
      </c>
      <c r="M360" s="6">
        <v>11.18</v>
      </c>
    </row>
    <row r="361" spans="1:13" x14ac:dyDescent="0.35">
      <c r="A361" s="4" t="s">
        <v>152</v>
      </c>
      <c r="B361" s="4" t="s">
        <v>153</v>
      </c>
      <c r="C361" s="4" t="str">
        <f t="shared" si="15"/>
        <v>Explore Luxury 2BHK Sample Flat at Shree</v>
      </c>
      <c r="D361" s="4" t="str">
        <f t="shared" ca="1" si="16"/>
        <v>Older</v>
      </c>
      <c r="E361" s="13">
        <v>45695</v>
      </c>
      <c r="F361" s="23">
        <f t="shared" si="17"/>
        <v>45716</v>
      </c>
      <c r="G361" s="5">
        <v>161</v>
      </c>
      <c r="H361" s="5">
        <v>1869</v>
      </c>
      <c r="I361" s="6">
        <v>38.694299999999998</v>
      </c>
      <c r="J361" s="5">
        <v>1</v>
      </c>
      <c r="K361" s="7">
        <v>10.146000000000001</v>
      </c>
      <c r="L361" s="5">
        <v>4933</v>
      </c>
      <c r="M361" s="6">
        <v>3.32</v>
      </c>
    </row>
    <row r="362" spans="1:13" x14ac:dyDescent="0.35">
      <c r="A362" s="4" t="s">
        <v>156</v>
      </c>
      <c r="B362" s="4" t="s">
        <v>157</v>
      </c>
      <c r="C362" s="4" t="str">
        <f t="shared" si="15"/>
        <v>3 Min's from Railway Station | 1 &amp; 2 BHK</v>
      </c>
      <c r="D362" s="4" t="str">
        <f t="shared" ca="1" si="16"/>
        <v>Older</v>
      </c>
      <c r="E362" s="13">
        <v>45695</v>
      </c>
      <c r="F362" s="23">
        <f t="shared" si="17"/>
        <v>45716</v>
      </c>
      <c r="G362" s="5">
        <v>85</v>
      </c>
      <c r="H362" s="5">
        <v>1839</v>
      </c>
      <c r="I362" s="6">
        <v>25.862300000000001</v>
      </c>
      <c r="J362" s="5">
        <v>4</v>
      </c>
      <c r="K362" s="7">
        <v>0.53400000000000003</v>
      </c>
      <c r="L362" s="5">
        <v>5404</v>
      </c>
      <c r="M362" s="6">
        <v>5.66</v>
      </c>
    </row>
    <row r="363" spans="1:13" x14ac:dyDescent="0.35">
      <c r="A363" s="4" t="s">
        <v>158</v>
      </c>
      <c r="B363" s="4" t="s">
        <v>159</v>
      </c>
      <c r="C363" s="4" t="str">
        <f t="shared" si="15"/>
        <v>Luxury 2, 3, 4 &amp; 5 BHK Flats in Kalyan |</v>
      </c>
      <c r="D363" s="4" t="str">
        <f t="shared" ca="1" si="16"/>
        <v>Older</v>
      </c>
      <c r="E363" s="13">
        <v>45694</v>
      </c>
      <c r="F363" s="23">
        <f t="shared" si="17"/>
        <v>45716</v>
      </c>
      <c r="G363" s="5">
        <v>81</v>
      </c>
      <c r="H363" s="5">
        <v>1838</v>
      </c>
      <c r="I363" s="6">
        <v>30.3354</v>
      </c>
      <c r="J363" s="5">
        <v>0</v>
      </c>
      <c r="K363" s="7">
        <v>5.4729999999999999</v>
      </c>
      <c r="L363" s="5">
        <v>4684</v>
      </c>
      <c r="M363" s="6">
        <v>2.95</v>
      </c>
    </row>
    <row r="364" spans="1:13" x14ac:dyDescent="0.35">
      <c r="A364" s="4" t="s">
        <v>264</v>
      </c>
      <c r="B364" s="4" t="s">
        <v>265</v>
      </c>
      <c r="C364" s="4" t="str">
        <f t="shared" si="15"/>
        <v>White Square Kalyan | Luxury 2, 3 &amp; 4 BH</v>
      </c>
      <c r="D364" s="4" t="str">
        <f t="shared" ca="1" si="16"/>
        <v>Older</v>
      </c>
      <c r="E364" s="13">
        <v>45694</v>
      </c>
      <c r="F364" s="23">
        <f t="shared" si="17"/>
        <v>45716</v>
      </c>
      <c r="G364" s="5">
        <v>158</v>
      </c>
      <c r="H364" s="5">
        <v>1422</v>
      </c>
      <c r="I364" s="6">
        <v>30.0503</v>
      </c>
      <c r="J364" s="5">
        <v>0</v>
      </c>
      <c r="K364" s="7">
        <v>9.6349999999999998</v>
      </c>
      <c r="L364" s="5">
        <v>5815</v>
      </c>
      <c r="M364" s="6">
        <v>3.71</v>
      </c>
    </row>
    <row r="365" spans="1:13" x14ac:dyDescent="0.35">
      <c r="A365" s="4" t="s">
        <v>829</v>
      </c>
      <c r="B365" s="4" t="s">
        <v>830</v>
      </c>
      <c r="C365" s="4" t="str">
        <f t="shared" si="15"/>
        <v>Tharwani Vedant Millenia 1 BHK Sample Fl</v>
      </c>
      <c r="D365" s="4" t="str">
        <f t="shared" ca="1" si="16"/>
        <v>Older</v>
      </c>
      <c r="E365" s="13">
        <v>45694</v>
      </c>
      <c r="F365" s="23">
        <f t="shared" si="17"/>
        <v>45716</v>
      </c>
      <c r="G365" s="5">
        <v>232</v>
      </c>
      <c r="H365" s="5">
        <v>632</v>
      </c>
      <c r="I365" s="6">
        <v>18.265499999999999</v>
      </c>
      <c r="J365" s="5">
        <v>1</v>
      </c>
      <c r="K365" s="7">
        <v>10.688000000000001</v>
      </c>
      <c r="L365" s="5">
        <v>4547</v>
      </c>
      <c r="M365" s="6">
        <v>8.91</v>
      </c>
    </row>
    <row r="366" spans="1:13" x14ac:dyDescent="0.35">
      <c r="A366" s="4" t="s">
        <v>135</v>
      </c>
      <c r="B366" s="4" t="s">
        <v>136</v>
      </c>
      <c r="C366" s="4" t="str">
        <f t="shared" si="15"/>
        <v xml:space="preserve">Tharwani Vedant Millenia Clubhouse Tour </v>
      </c>
      <c r="D366" s="4" t="str">
        <f t="shared" ca="1" si="16"/>
        <v>Older</v>
      </c>
      <c r="E366" s="13">
        <v>45693</v>
      </c>
      <c r="F366" s="23">
        <f t="shared" si="17"/>
        <v>45716</v>
      </c>
      <c r="G366" s="5">
        <v>386</v>
      </c>
      <c r="H366" s="5">
        <v>2015</v>
      </c>
      <c r="I366" s="6">
        <v>69.4024</v>
      </c>
      <c r="J366" s="5">
        <v>7</v>
      </c>
      <c r="K366" s="7">
        <v>190.02500000000001</v>
      </c>
      <c r="L366" s="5">
        <v>13033</v>
      </c>
      <c r="M366" s="6">
        <v>10.69</v>
      </c>
    </row>
    <row r="367" spans="1:13" x14ac:dyDescent="0.35">
      <c r="A367" s="4" t="s">
        <v>413</v>
      </c>
      <c r="B367" s="4" t="s">
        <v>895</v>
      </c>
      <c r="C367" s="4" t="str">
        <f t="shared" si="15"/>
        <v>Arihant Aaradhya Kalyan | 2 BHK Sample F</v>
      </c>
      <c r="D367" s="4" t="str">
        <f t="shared" ca="1" si="16"/>
        <v>Older</v>
      </c>
      <c r="E367" s="13">
        <v>45693</v>
      </c>
      <c r="F367" s="23">
        <f t="shared" si="17"/>
        <v>45716</v>
      </c>
      <c r="G367" s="5">
        <v>61</v>
      </c>
      <c r="H367" s="5">
        <v>1092</v>
      </c>
      <c r="I367" s="6">
        <v>6.7789999999999999</v>
      </c>
      <c r="J367" s="5">
        <v>4</v>
      </c>
      <c r="K367" s="7">
        <v>0.59499999999999997</v>
      </c>
      <c r="L367" s="5">
        <v>6856</v>
      </c>
      <c r="M367" s="6">
        <v>8.15</v>
      </c>
    </row>
    <row r="368" spans="1:13" x14ac:dyDescent="0.35">
      <c r="A368" s="4" t="s">
        <v>459</v>
      </c>
      <c r="B368" s="4" t="s">
        <v>460</v>
      </c>
      <c r="C368" s="4" t="str">
        <f t="shared" si="15"/>
        <v>Arihant Aaradhya Kalyan | 1 BHK Sample F</v>
      </c>
      <c r="D368" s="4" t="str">
        <f t="shared" ca="1" si="16"/>
        <v>Older</v>
      </c>
      <c r="E368" s="13">
        <v>45693</v>
      </c>
      <c r="F368" s="23">
        <f t="shared" si="17"/>
        <v>45716</v>
      </c>
      <c r="G368" s="5">
        <v>65</v>
      </c>
      <c r="H368" s="5">
        <v>1022</v>
      </c>
      <c r="I368" s="6">
        <v>7.2107999999999999</v>
      </c>
      <c r="J368" s="5">
        <v>0</v>
      </c>
      <c r="K368" s="7">
        <v>0.57999999999999996</v>
      </c>
      <c r="L368" s="5">
        <v>6891</v>
      </c>
      <c r="M368" s="6">
        <v>5.98</v>
      </c>
    </row>
    <row r="369" spans="1:13" x14ac:dyDescent="0.35">
      <c r="A369" s="4" t="s">
        <v>600</v>
      </c>
      <c r="B369" s="4" t="s">
        <v>601</v>
      </c>
      <c r="C369" s="4" t="str">
        <f t="shared" si="15"/>
        <v xml:space="preserve">House of Hiranandani 2BHK Sample Flat | </v>
      </c>
      <c r="D369" s="4" t="str">
        <f t="shared" ca="1" si="16"/>
        <v>Older</v>
      </c>
      <c r="E369" s="13">
        <v>45689</v>
      </c>
      <c r="F369" s="23">
        <f t="shared" si="17"/>
        <v>45716</v>
      </c>
      <c r="G369" s="5">
        <v>60</v>
      </c>
      <c r="H369" s="5">
        <v>845</v>
      </c>
      <c r="I369" s="6">
        <v>4.5358000000000001</v>
      </c>
      <c r="J369" s="5">
        <v>7</v>
      </c>
      <c r="K369" s="7">
        <v>0.59199999999999997</v>
      </c>
      <c r="L369" s="5">
        <v>7437</v>
      </c>
      <c r="M369" s="6">
        <v>4.29</v>
      </c>
    </row>
    <row r="370" spans="1:13" x14ac:dyDescent="0.35">
      <c r="A370" s="4" t="s">
        <v>869</v>
      </c>
      <c r="B370" s="4" t="s">
        <v>870</v>
      </c>
      <c r="C370" s="4" t="str">
        <f t="shared" si="15"/>
        <v>Rustomjee Dombivli Launching 1 &amp; 2 BHK |</v>
      </c>
      <c r="D370" s="4" t="str">
        <f t="shared" ca="1" si="16"/>
        <v>Older</v>
      </c>
      <c r="E370" s="13">
        <v>45689</v>
      </c>
      <c r="F370" s="23">
        <f t="shared" si="17"/>
        <v>45716</v>
      </c>
      <c r="G370" s="5">
        <v>38</v>
      </c>
      <c r="H370" s="5">
        <v>605</v>
      </c>
      <c r="I370" s="6">
        <v>3.2749999999999999</v>
      </c>
      <c r="J370" s="5">
        <v>1</v>
      </c>
      <c r="K370" s="7">
        <v>46.161999999999999</v>
      </c>
      <c r="L370" s="5">
        <v>7206</v>
      </c>
      <c r="M370" s="6">
        <v>7.13</v>
      </c>
    </row>
    <row r="371" spans="1:13" x14ac:dyDescent="0.35">
      <c r="A371" s="4" t="s">
        <v>39</v>
      </c>
      <c r="B371" s="4" t="s">
        <v>880</v>
      </c>
      <c r="C371" s="4" t="str">
        <f t="shared" si="15"/>
        <v xml:space="preserve">Rustomjee Dombivli New Project | Luxury </v>
      </c>
      <c r="D371" s="4" t="str">
        <f t="shared" ca="1" si="16"/>
        <v>Older</v>
      </c>
      <c r="E371" s="13">
        <v>45688</v>
      </c>
      <c r="F371" s="23">
        <f t="shared" si="17"/>
        <v>45688</v>
      </c>
      <c r="G371" s="5">
        <v>25</v>
      </c>
      <c r="H371" s="5">
        <v>5005</v>
      </c>
      <c r="I371" s="6">
        <v>18.204699999999999</v>
      </c>
      <c r="J371" s="5">
        <v>6</v>
      </c>
      <c r="K371" s="7">
        <v>2.5510000000000002</v>
      </c>
      <c r="L371" s="5">
        <v>44540</v>
      </c>
      <c r="M371" s="6">
        <v>4.54</v>
      </c>
    </row>
    <row r="372" spans="1:13" x14ac:dyDescent="0.35">
      <c r="A372" s="4" t="s">
        <v>405</v>
      </c>
      <c r="B372" s="4" t="s">
        <v>920</v>
      </c>
      <c r="C372" s="4" t="str">
        <f t="shared" si="15"/>
        <v>Arihant City Kalyan | Spacious 2 BHK Fla</v>
      </c>
      <c r="D372" s="4" t="str">
        <f t="shared" ca="1" si="16"/>
        <v>Older</v>
      </c>
      <c r="E372" s="13">
        <v>45688</v>
      </c>
      <c r="F372" s="23">
        <f t="shared" si="17"/>
        <v>45688</v>
      </c>
      <c r="G372" s="5">
        <v>78</v>
      </c>
      <c r="H372" s="5">
        <v>1108</v>
      </c>
      <c r="I372" s="6">
        <v>10.904400000000001</v>
      </c>
      <c r="J372" s="5">
        <v>7</v>
      </c>
      <c r="K372" s="7">
        <v>0.73799999999999999</v>
      </c>
      <c r="L372" s="5">
        <v>6236</v>
      </c>
      <c r="M372" s="6">
        <v>7.86</v>
      </c>
    </row>
    <row r="373" spans="1:13" x14ac:dyDescent="0.35">
      <c r="A373" s="4" t="s">
        <v>90</v>
      </c>
      <c r="B373" s="4" t="s">
        <v>91</v>
      </c>
      <c r="C373" s="4" t="str">
        <f t="shared" si="15"/>
        <v>LM Tower | Ready To Move 1 &amp; 2 BHK Flats</v>
      </c>
      <c r="D373" s="4" t="str">
        <f t="shared" ca="1" si="16"/>
        <v>Older</v>
      </c>
      <c r="E373" s="13">
        <v>45686</v>
      </c>
      <c r="F373" s="23">
        <f t="shared" si="17"/>
        <v>45688</v>
      </c>
      <c r="G373" s="5">
        <v>87</v>
      </c>
      <c r="H373" s="5">
        <v>2392</v>
      </c>
      <c r="I373" s="6">
        <v>48.094999999999999</v>
      </c>
      <c r="J373" s="5">
        <v>1</v>
      </c>
      <c r="K373" s="7">
        <v>15.709</v>
      </c>
      <c r="L373" s="5">
        <v>3622</v>
      </c>
      <c r="M373" s="6">
        <v>4.72</v>
      </c>
    </row>
    <row r="374" spans="1:13" x14ac:dyDescent="0.35">
      <c r="A374" s="4" t="s">
        <v>115</v>
      </c>
      <c r="B374" s="4" t="s">
        <v>116</v>
      </c>
      <c r="C374" s="4" t="str">
        <f t="shared" si="15"/>
        <v>1 BHK Flat for Sale in Badlapur | Near B</v>
      </c>
      <c r="D374" s="4" t="str">
        <f t="shared" ca="1" si="16"/>
        <v>Older</v>
      </c>
      <c r="E374" s="13">
        <v>45685</v>
      </c>
      <c r="F374" s="23">
        <f t="shared" si="17"/>
        <v>45688</v>
      </c>
      <c r="G374" s="5">
        <v>132</v>
      </c>
      <c r="H374" s="5">
        <v>2188</v>
      </c>
      <c r="I374" s="6">
        <v>55.490600000000001</v>
      </c>
      <c r="J374" s="5">
        <v>1</v>
      </c>
      <c r="K374" s="7">
        <v>19.524000000000001</v>
      </c>
      <c r="L374" s="5">
        <v>4062</v>
      </c>
      <c r="M374" s="6">
        <v>6.23</v>
      </c>
    </row>
    <row r="375" spans="1:13" x14ac:dyDescent="0.35">
      <c r="A375" s="4" t="s">
        <v>196</v>
      </c>
      <c r="B375" s="4" t="s">
        <v>197</v>
      </c>
      <c r="C375" s="4" t="str">
        <f t="shared" si="15"/>
        <v>Samruddhi Heights Kalyan | Premium 1 RK,</v>
      </c>
      <c r="D375" s="4" t="str">
        <f t="shared" ca="1" si="16"/>
        <v>Older</v>
      </c>
      <c r="E375" s="13">
        <v>45685</v>
      </c>
      <c r="F375" s="23">
        <f t="shared" si="17"/>
        <v>45688</v>
      </c>
      <c r="G375" s="5">
        <v>116</v>
      </c>
      <c r="H375" s="5">
        <v>1651</v>
      </c>
      <c r="I375" s="6">
        <v>36.198099999999997</v>
      </c>
      <c r="J375" s="5">
        <v>1</v>
      </c>
      <c r="K375" s="7">
        <v>14.988</v>
      </c>
      <c r="L375" s="5">
        <v>6628</v>
      </c>
      <c r="M375" s="6">
        <v>5.01</v>
      </c>
    </row>
    <row r="376" spans="1:13" x14ac:dyDescent="0.35">
      <c r="A376" s="4" t="s">
        <v>841</v>
      </c>
      <c r="B376" s="4" t="s">
        <v>842</v>
      </c>
      <c r="C376" s="4" t="str">
        <f t="shared" si="15"/>
        <v>Spacious 2 BHK Flats at Samruddhi Height</v>
      </c>
      <c r="D376" s="4" t="str">
        <f t="shared" ca="1" si="16"/>
        <v>Older</v>
      </c>
      <c r="E376" s="13">
        <v>45685</v>
      </c>
      <c r="F376" s="23">
        <f t="shared" si="17"/>
        <v>45688</v>
      </c>
      <c r="G376" s="5">
        <v>67</v>
      </c>
      <c r="H376" s="5">
        <v>625</v>
      </c>
      <c r="I376" s="6">
        <v>3.7187999999999999</v>
      </c>
      <c r="J376" s="5">
        <v>4</v>
      </c>
      <c r="K376" s="7">
        <v>0.39600000000000002</v>
      </c>
      <c r="L376" s="5">
        <v>4401</v>
      </c>
      <c r="M376" s="6">
        <v>4.7300000000000004</v>
      </c>
    </row>
    <row r="377" spans="1:13" x14ac:dyDescent="0.35">
      <c r="A377" s="4" t="s">
        <v>47</v>
      </c>
      <c r="B377" s="4" t="s">
        <v>906</v>
      </c>
      <c r="C377" s="4" t="str">
        <f t="shared" si="15"/>
        <v>Affordable Flats in Kalyan| 1 BHK Flat f</v>
      </c>
      <c r="D377" s="4" t="str">
        <f t="shared" ca="1" si="16"/>
        <v>Older</v>
      </c>
      <c r="E377" s="13">
        <v>45683</v>
      </c>
      <c r="F377" s="23">
        <f t="shared" si="17"/>
        <v>45688</v>
      </c>
      <c r="G377" s="5">
        <v>62</v>
      </c>
      <c r="H377" s="5">
        <v>4410</v>
      </c>
      <c r="I377" s="6">
        <v>65.416200000000003</v>
      </c>
      <c r="J377" s="5">
        <v>3</v>
      </c>
      <c r="K377" s="7">
        <v>66.442999999999998</v>
      </c>
      <c r="L377" s="5">
        <v>5678</v>
      </c>
      <c r="M377" s="6">
        <v>11.24</v>
      </c>
    </row>
    <row r="378" spans="1:13" x14ac:dyDescent="0.35">
      <c r="A378" s="4" t="s">
        <v>873</v>
      </c>
      <c r="B378" s="4" t="s">
        <v>958</v>
      </c>
      <c r="C378" s="4" t="str">
        <f t="shared" si="15"/>
        <v>CREDAI MCHI Kalyan Dombivli Exhibition 2</v>
      </c>
      <c r="D378" s="4" t="str">
        <f t="shared" ca="1" si="16"/>
        <v>Older</v>
      </c>
      <c r="E378" s="13">
        <v>45682</v>
      </c>
      <c r="F378" s="23">
        <f t="shared" si="17"/>
        <v>45688</v>
      </c>
      <c r="G378" s="5">
        <v>56</v>
      </c>
      <c r="H378" s="5">
        <v>597</v>
      </c>
      <c r="I378" s="6">
        <v>3.282</v>
      </c>
      <c r="J378" s="5">
        <v>1</v>
      </c>
      <c r="K378" s="7">
        <v>0.36499999999999999</v>
      </c>
      <c r="L378" s="5">
        <v>8084</v>
      </c>
      <c r="M378" s="6">
        <v>3.33</v>
      </c>
    </row>
    <row r="379" spans="1:13" x14ac:dyDescent="0.35">
      <c r="A379" s="4" t="s">
        <v>154</v>
      </c>
      <c r="B379" s="4" t="s">
        <v>155</v>
      </c>
      <c r="C379" s="4" t="str">
        <f t="shared" si="15"/>
        <v xml:space="preserve">Tata Amantra Kalyan | Luxury Project in </v>
      </c>
      <c r="D379" s="4" t="str">
        <f t="shared" ca="1" si="16"/>
        <v>Older</v>
      </c>
      <c r="E379" s="13">
        <v>45681</v>
      </c>
      <c r="F379" s="23">
        <f t="shared" si="17"/>
        <v>45688</v>
      </c>
      <c r="G379" s="5">
        <v>95</v>
      </c>
      <c r="H379" s="5">
        <v>1865</v>
      </c>
      <c r="I379" s="6">
        <v>14.7849</v>
      </c>
      <c r="J379" s="5">
        <v>7</v>
      </c>
      <c r="K379" s="7">
        <v>1.1319999999999999</v>
      </c>
      <c r="L379" s="5">
        <v>10941</v>
      </c>
      <c r="M379" s="6">
        <v>7.28</v>
      </c>
    </row>
    <row r="380" spans="1:13" x14ac:dyDescent="0.35">
      <c r="A380" s="4" t="s">
        <v>146</v>
      </c>
      <c r="B380" s="4" t="s">
        <v>147</v>
      </c>
      <c r="C380" s="4" t="str">
        <f t="shared" si="15"/>
        <v>Discover Kohinoor Uptown Kalyan West | 1</v>
      </c>
      <c r="D380" s="4" t="str">
        <f t="shared" ca="1" si="16"/>
        <v>Older</v>
      </c>
      <c r="E380" s="13">
        <v>45678</v>
      </c>
      <c r="F380" s="23">
        <f t="shared" si="17"/>
        <v>45688</v>
      </c>
      <c r="G380" s="5">
        <v>31</v>
      </c>
      <c r="H380" s="5">
        <v>1918</v>
      </c>
      <c r="I380" s="6">
        <v>8.6614000000000004</v>
      </c>
      <c r="J380" s="5">
        <v>3</v>
      </c>
      <c r="K380" s="7">
        <v>1.0669999999999999</v>
      </c>
      <c r="L380" s="5">
        <v>11298</v>
      </c>
      <c r="M380" s="6">
        <v>8.26</v>
      </c>
    </row>
    <row r="381" spans="1:13" x14ac:dyDescent="0.35">
      <c r="A381" s="4" t="s">
        <v>524</v>
      </c>
      <c r="B381" s="4" t="s">
        <v>525</v>
      </c>
      <c r="C381" s="4" t="str">
        <f t="shared" si="15"/>
        <v>Ready to Move Flats in Kalyan West | Tat</v>
      </c>
      <c r="D381" s="4" t="str">
        <f t="shared" ca="1" si="16"/>
        <v>Older</v>
      </c>
      <c r="E381" s="13">
        <v>45665</v>
      </c>
      <c r="F381" s="23">
        <f t="shared" si="17"/>
        <v>45688</v>
      </c>
      <c r="G381" s="5">
        <v>300</v>
      </c>
      <c r="H381" s="5">
        <v>941</v>
      </c>
      <c r="I381" s="6">
        <v>24.496400000000001</v>
      </c>
      <c r="J381" s="5">
        <v>8</v>
      </c>
      <c r="K381" s="7">
        <v>98.622</v>
      </c>
      <c r="L381" s="5">
        <v>5446</v>
      </c>
      <c r="M381" s="6">
        <v>15.19</v>
      </c>
    </row>
    <row r="382" spans="1:13" x14ac:dyDescent="0.35">
      <c r="A382" s="4" t="s">
        <v>604</v>
      </c>
      <c r="B382" s="4" t="s">
        <v>605</v>
      </c>
      <c r="C382" s="4" t="str">
        <f t="shared" si="15"/>
        <v xml:space="preserve">Kohinoor Uptown Kalyan West | 1 &amp; 2 BHK </v>
      </c>
      <c r="D382" s="4" t="str">
        <f t="shared" ca="1" si="16"/>
        <v>Older</v>
      </c>
      <c r="E382" s="13">
        <v>45665</v>
      </c>
      <c r="F382" s="23">
        <f t="shared" si="17"/>
        <v>45688</v>
      </c>
      <c r="G382" s="5">
        <v>357</v>
      </c>
      <c r="H382" s="5">
        <v>844</v>
      </c>
      <c r="I382" s="6">
        <v>30.549800000000001</v>
      </c>
      <c r="J382" s="5">
        <v>0</v>
      </c>
      <c r="K382" s="7">
        <v>65.046999999999997</v>
      </c>
      <c r="L382" s="5">
        <v>5292</v>
      </c>
      <c r="M382" s="6">
        <v>10.19</v>
      </c>
    </row>
    <row r="383" spans="1:13" x14ac:dyDescent="0.35">
      <c r="A383" s="4" t="s">
        <v>360</v>
      </c>
      <c r="B383" s="4" t="s">
        <v>894</v>
      </c>
      <c r="C383" s="4" t="str">
        <f t="shared" si="15"/>
        <v>Spacious 1 &amp; 2 BHK Homes in Kalyan | Siy</v>
      </c>
      <c r="D383" s="4" t="str">
        <f t="shared" ca="1" si="16"/>
        <v>Older</v>
      </c>
      <c r="E383" s="13">
        <v>45664</v>
      </c>
      <c r="F383" s="23">
        <f t="shared" si="17"/>
        <v>45688</v>
      </c>
      <c r="G383" s="5">
        <v>53</v>
      </c>
      <c r="H383" s="5">
        <v>1200</v>
      </c>
      <c r="I383" s="6">
        <v>8.7067999999999994</v>
      </c>
      <c r="J383" s="5">
        <v>0</v>
      </c>
      <c r="K383" s="7">
        <v>0.622</v>
      </c>
      <c r="L383" s="5">
        <v>8530</v>
      </c>
      <c r="M383" s="6">
        <v>5.98</v>
      </c>
    </row>
    <row r="384" spans="1:13" x14ac:dyDescent="0.35">
      <c r="A384" s="4" t="s">
        <v>682</v>
      </c>
      <c r="B384" s="4" t="s">
        <v>683</v>
      </c>
      <c r="C384" s="4" t="str">
        <f t="shared" si="15"/>
        <v>3 BHK Flat In Kalyan West | 3 BHK Flat N</v>
      </c>
      <c r="D384" s="4" t="str">
        <f t="shared" ca="1" si="16"/>
        <v>Older</v>
      </c>
      <c r="E384" s="13">
        <v>45664</v>
      </c>
      <c r="F384" s="23">
        <f t="shared" si="17"/>
        <v>45688</v>
      </c>
      <c r="G384" s="5">
        <v>26</v>
      </c>
      <c r="H384" s="5">
        <v>786</v>
      </c>
      <c r="I384" s="6">
        <v>2.0724</v>
      </c>
      <c r="J384" s="5">
        <v>0</v>
      </c>
      <c r="K384" s="7">
        <v>0.40400000000000003</v>
      </c>
      <c r="L384" s="5">
        <v>7754</v>
      </c>
      <c r="M384" s="6">
        <v>3.71</v>
      </c>
    </row>
    <row r="385" spans="1:13" x14ac:dyDescent="0.35">
      <c r="A385" s="4" t="s">
        <v>447</v>
      </c>
      <c r="B385" s="4" t="s">
        <v>448</v>
      </c>
      <c r="C385" s="4" t="str">
        <f t="shared" si="15"/>
        <v xml:space="preserve">1 BHK Sample Flat Tour | Godrej Riviera </v>
      </c>
      <c r="D385" s="4" t="str">
        <f t="shared" ca="1" si="16"/>
        <v>Older</v>
      </c>
      <c r="E385" s="13">
        <v>45662</v>
      </c>
      <c r="F385" s="23">
        <f t="shared" si="17"/>
        <v>45688</v>
      </c>
      <c r="G385" s="5">
        <v>59</v>
      </c>
      <c r="H385" s="5">
        <v>1041</v>
      </c>
      <c r="I385" s="6">
        <v>6.2202999999999999</v>
      </c>
      <c r="J385" s="5">
        <v>2</v>
      </c>
      <c r="K385" s="7">
        <v>0.59299999999999997</v>
      </c>
      <c r="L385" s="5">
        <v>5998</v>
      </c>
      <c r="M385" s="6">
        <v>6.72</v>
      </c>
    </row>
    <row r="386" spans="1:13" x14ac:dyDescent="0.35">
      <c r="A386" s="4" t="s">
        <v>657</v>
      </c>
      <c r="B386" s="4" t="s">
        <v>658</v>
      </c>
      <c r="C386" s="4" t="str">
        <f t="shared" si="15"/>
        <v>3 bhk Flat in Kalyan West | Maatr Skye K</v>
      </c>
      <c r="D386" s="4" t="str">
        <f t="shared" ca="1" si="16"/>
        <v>Older</v>
      </c>
      <c r="E386" s="13">
        <v>45662</v>
      </c>
      <c r="F386" s="23">
        <f t="shared" si="17"/>
        <v>45688</v>
      </c>
      <c r="G386" s="5">
        <v>59</v>
      </c>
      <c r="H386" s="5">
        <v>805</v>
      </c>
      <c r="I386" s="6">
        <v>6.4318999999999997</v>
      </c>
      <c r="J386" s="5">
        <v>1</v>
      </c>
      <c r="K386" s="7">
        <v>0.54900000000000004</v>
      </c>
      <c r="L386" s="5">
        <v>5296</v>
      </c>
      <c r="M386" s="6">
        <v>7.89</v>
      </c>
    </row>
    <row r="387" spans="1:13" x14ac:dyDescent="0.35">
      <c r="A387" s="4" t="s">
        <v>671</v>
      </c>
      <c r="B387" s="4" t="s">
        <v>672</v>
      </c>
      <c r="C387" s="4" t="str">
        <f t="shared" ref="C387:C450" si="18">LEFT(B387,40)</f>
        <v xml:space="preserve">2 BHK Sample Flat Tour | Godrej Riviera </v>
      </c>
      <c r="D387" s="4" t="str">
        <f t="shared" ref="D387:D450" ca="1" si="19">IF(E387&gt;=TODAY()-28,"Last 28 Days",IF(E387&gt;=TODAY()-90,"Last 90 Days",IF(E387&gt;=TODAY()-365,"Last 365 Days","Older")))</f>
        <v>Older</v>
      </c>
      <c r="E387" s="13">
        <v>45662</v>
      </c>
      <c r="F387" s="23">
        <f t="shared" ref="F387:F450" si="20">EOMONTH(E387,0)</f>
        <v>45688</v>
      </c>
      <c r="G387" s="5">
        <v>56</v>
      </c>
      <c r="H387" s="5">
        <v>793</v>
      </c>
      <c r="I387" s="6">
        <v>4.7576999999999998</v>
      </c>
      <c r="J387" s="5">
        <v>1</v>
      </c>
      <c r="K387" s="7">
        <v>0.52500000000000002</v>
      </c>
      <c r="L387" s="5">
        <v>4918</v>
      </c>
      <c r="M387" s="6">
        <v>7.38</v>
      </c>
    </row>
    <row r="388" spans="1:13" x14ac:dyDescent="0.35">
      <c r="A388" s="4" t="s">
        <v>302</v>
      </c>
      <c r="B388" s="4" t="s">
        <v>303</v>
      </c>
      <c r="C388" s="4" t="str">
        <f t="shared" si="18"/>
        <v xml:space="preserve">Godrej Riviera Kalyan | Lush Greenery &amp; </v>
      </c>
      <c r="D388" s="4" t="str">
        <f t="shared" ca="1" si="19"/>
        <v>Older</v>
      </c>
      <c r="E388" s="13">
        <v>45661</v>
      </c>
      <c r="F388" s="23">
        <f t="shared" si="20"/>
        <v>45688</v>
      </c>
      <c r="G388" s="5">
        <v>33</v>
      </c>
      <c r="H388" s="5">
        <v>1288</v>
      </c>
      <c r="I388" s="6">
        <v>5.9564000000000004</v>
      </c>
      <c r="J388" s="5">
        <v>0</v>
      </c>
      <c r="K388" s="7">
        <v>0.73899999999999999</v>
      </c>
      <c r="L388" s="5">
        <v>6232</v>
      </c>
      <c r="M388" s="6">
        <v>8.39</v>
      </c>
    </row>
    <row r="389" spans="1:13" x14ac:dyDescent="0.35">
      <c r="A389" s="4" t="s">
        <v>40</v>
      </c>
      <c r="B389" s="4" t="s">
        <v>41</v>
      </c>
      <c r="C389" s="4" t="str">
        <f t="shared" si="18"/>
        <v>Godrej Riviera Kalyan | Luxury 1 &amp; 2 BHK</v>
      </c>
      <c r="D389" s="4" t="str">
        <f t="shared" ca="1" si="19"/>
        <v>Older</v>
      </c>
      <c r="E389" s="13">
        <v>45660</v>
      </c>
      <c r="F389" s="23">
        <f t="shared" si="20"/>
        <v>45688</v>
      </c>
      <c r="G389" s="5">
        <v>98</v>
      </c>
      <c r="H389" s="5">
        <v>4666</v>
      </c>
      <c r="I389" s="6">
        <v>107.5787</v>
      </c>
      <c r="J389" s="5">
        <v>0</v>
      </c>
      <c r="K389" s="7">
        <v>10.904</v>
      </c>
      <c r="L389" s="5">
        <v>613</v>
      </c>
      <c r="M389" s="6">
        <v>5.22</v>
      </c>
    </row>
    <row r="390" spans="1:13" x14ac:dyDescent="0.35">
      <c r="A390" s="4" t="s">
        <v>326</v>
      </c>
      <c r="B390" s="4" t="s">
        <v>983</v>
      </c>
      <c r="C390" s="4" t="str">
        <f t="shared" si="18"/>
        <v>Arihant World Villas Karjat | Luxury 3 &amp;</v>
      </c>
      <c r="D390" s="4" t="str">
        <f t="shared" ca="1" si="19"/>
        <v>Older</v>
      </c>
      <c r="E390" s="13">
        <v>45655</v>
      </c>
      <c r="F390" s="23">
        <f t="shared" si="20"/>
        <v>45657</v>
      </c>
      <c r="G390" s="5">
        <v>53</v>
      </c>
      <c r="H390" s="5">
        <v>1259</v>
      </c>
      <c r="I390" s="6">
        <v>12.0092</v>
      </c>
      <c r="J390" s="5">
        <v>1</v>
      </c>
      <c r="K390" s="7">
        <v>120.23399999999999</v>
      </c>
      <c r="L390" s="5">
        <v>7643</v>
      </c>
      <c r="M390" s="6">
        <v>13.79</v>
      </c>
    </row>
    <row r="391" spans="1:13" x14ac:dyDescent="0.35">
      <c r="A391" s="4" t="s">
        <v>551</v>
      </c>
      <c r="B391" s="4" t="s">
        <v>552</v>
      </c>
      <c r="C391" s="4" t="str">
        <f t="shared" si="18"/>
        <v xml:space="preserve">New project in kalyan | Kohinoor Uptown </v>
      </c>
      <c r="D391" s="4" t="str">
        <f t="shared" ca="1" si="19"/>
        <v>Older</v>
      </c>
      <c r="E391" s="13">
        <v>45653</v>
      </c>
      <c r="F391" s="23">
        <f t="shared" si="20"/>
        <v>45657</v>
      </c>
      <c r="G391" s="5">
        <v>64</v>
      </c>
      <c r="H391" s="5">
        <v>912</v>
      </c>
      <c r="I391" s="6">
        <v>5.8132000000000001</v>
      </c>
      <c r="J391" s="5">
        <v>1</v>
      </c>
      <c r="K391" s="7">
        <v>0.48199999999999998</v>
      </c>
      <c r="L391" s="5">
        <v>6045</v>
      </c>
      <c r="M391" s="6">
        <v>7.06</v>
      </c>
    </row>
    <row r="392" spans="1:13" x14ac:dyDescent="0.35">
      <c r="A392" s="4" t="s">
        <v>859</v>
      </c>
      <c r="B392" s="4" t="s">
        <v>860</v>
      </c>
      <c r="C392" s="4" t="str">
        <f t="shared" si="18"/>
        <v>Explore Balaji Aqua 3BHK Sample Flat | L</v>
      </c>
      <c r="D392" s="4" t="str">
        <f t="shared" ca="1" si="19"/>
        <v>Older</v>
      </c>
      <c r="E392" s="13">
        <v>45647</v>
      </c>
      <c r="F392" s="23">
        <f t="shared" si="20"/>
        <v>45657</v>
      </c>
      <c r="G392" s="5">
        <v>56</v>
      </c>
      <c r="H392" s="5">
        <v>609</v>
      </c>
      <c r="I392" s="6">
        <v>3.6741999999999999</v>
      </c>
      <c r="J392" s="5">
        <v>0</v>
      </c>
      <c r="K392" s="7">
        <v>0.48099999999999998</v>
      </c>
      <c r="L392" s="5">
        <v>4638</v>
      </c>
      <c r="M392" s="6">
        <v>5.43</v>
      </c>
    </row>
    <row r="393" spans="1:13" x14ac:dyDescent="0.35">
      <c r="A393" s="4" t="s">
        <v>568</v>
      </c>
      <c r="B393" s="4" t="s">
        <v>908</v>
      </c>
      <c r="C393" s="4" t="str">
        <f t="shared" si="18"/>
        <v>Kalyan Luxury 1,2 &amp; 3 BHK Apartment| Rit</v>
      </c>
      <c r="D393" s="4" t="str">
        <f t="shared" ca="1" si="19"/>
        <v>Older</v>
      </c>
      <c r="E393" s="13">
        <v>45646</v>
      </c>
      <c r="F393" s="23">
        <f t="shared" si="20"/>
        <v>45657</v>
      </c>
      <c r="G393" s="5">
        <v>90</v>
      </c>
      <c r="H393" s="5">
        <v>892</v>
      </c>
      <c r="I393" s="6">
        <v>7.5412999999999997</v>
      </c>
      <c r="J393" s="5">
        <v>0</v>
      </c>
      <c r="K393" s="7">
        <v>0.49099999999999999</v>
      </c>
      <c r="L393" s="5">
        <v>5902</v>
      </c>
      <c r="M393" s="6">
        <v>6.03</v>
      </c>
    </row>
    <row r="394" spans="1:13" x14ac:dyDescent="0.35">
      <c r="A394" s="4" t="s">
        <v>653</v>
      </c>
      <c r="B394" s="4" t="s">
        <v>654</v>
      </c>
      <c r="C394" s="4" t="str">
        <f t="shared" si="18"/>
        <v>Balaji Aqua Khadakpada, Kalyan | Project</v>
      </c>
      <c r="D394" s="4" t="str">
        <f t="shared" ca="1" si="19"/>
        <v>Older</v>
      </c>
      <c r="E394" s="13">
        <v>45646</v>
      </c>
      <c r="F394" s="23">
        <f t="shared" si="20"/>
        <v>45657</v>
      </c>
      <c r="G394" s="5">
        <v>39</v>
      </c>
      <c r="H394" s="5">
        <v>808</v>
      </c>
      <c r="I394" s="6">
        <v>3.8652000000000002</v>
      </c>
      <c r="J394" s="5">
        <v>0</v>
      </c>
      <c r="K394" s="7">
        <v>0.37</v>
      </c>
      <c r="L394" s="5">
        <v>6010</v>
      </c>
      <c r="M394" s="6">
        <v>5.99</v>
      </c>
    </row>
    <row r="395" spans="1:13" x14ac:dyDescent="0.35">
      <c r="A395" s="4" t="s">
        <v>847</v>
      </c>
      <c r="B395" s="4" t="s">
        <v>909</v>
      </c>
      <c r="C395" s="4" t="str">
        <f t="shared" si="18"/>
        <v>Elite Galaxy Dombivli East | 1 BHK, 2 BH</v>
      </c>
      <c r="D395" s="4" t="str">
        <f t="shared" ca="1" si="19"/>
        <v>Older</v>
      </c>
      <c r="E395" s="13">
        <v>45644</v>
      </c>
      <c r="F395" s="23">
        <f t="shared" si="20"/>
        <v>45657</v>
      </c>
      <c r="G395" s="5">
        <v>102</v>
      </c>
      <c r="H395" s="5">
        <v>620</v>
      </c>
      <c r="I395" s="6">
        <v>7.6517999999999997</v>
      </c>
      <c r="J395" s="5">
        <v>1</v>
      </c>
      <c r="K395" s="7">
        <v>50.162999999999997</v>
      </c>
      <c r="L395" s="5">
        <v>2435</v>
      </c>
      <c r="M395" s="6">
        <v>19.22</v>
      </c>
    </row>
    <row r="396" spans="1:13" x14ac:dyDescent="0.35">
      <c r="A396" s="4" t="s">
        <v>36</v>
      </c>
      <c r="B396" s="4" t="s">
        <v>942</v>
      </c>
      <c r="C396" s="4" t="str">
        <f t="shared" si="18"/>
        <v>Davakhar Sereno Kalyan | 1 &amp; 2 BHK Flats</v>
      </c>
      <c r="D396" s="4" t="str">
        <f t="shared" ca="1" si="19"/>
        <v>Older</v>
      </c>
      <c r="E396" s="13">
        <v>45643</v>
      </c>
      <c r="F396" s="23">
        <f t="shared" si="20"/>
        <v>45657</v>
      </c>
      <c r="G396" s="5">
        <v>60</v>
      </c>
      <c r="H396" s="5">
        <v>5679</v>
      </c>
      <c r="I396" s="6">
        <v>37.305900000000001</v>
      </c>
      <c r="J396" s="5">
        <v>5</v>
      </c>
      <c r="K396" s="7">
        <v>3.1549999999999998</v>
      </c>
      <c r="L396" s="5">
        <v>28543</v>
      </c>
      <c r="M396" s="6">
        <v>10.53</v>
      </c>
    </row>
    <row r="397" spans="1:13" x14ac:dyDescent="0.35">
      <c r="A397" s="4" t="s">
        <v>815</v>
      </c>
      <c r="B397" s="4" t="s">
        <v>926</v>
      </c>
      <c r="C397" s="4" t="str">
        <f t="shared" si="18"/>
        <v>Runwal Garden Dombivali | 1, 2, 3 &amp; 4 BH</v>
      </c>
      <c r="D397" s="4" t="str">
        <f t="shared" ca="1" si="19"/>
        <v>Older</v>
      </c>
      <c r="E397" s="13">
        <v>45643</v>
      </c>
      <c r="F397" s="23">
        <f t="shared" si="20"/>
        <v>45657</v>
      </c>
      <c r="G397" s="5">
        <v>66</v>
      </c>
      <c r="H397" s="5">
        <v>640</v>
      </c>
      <c r="I397" s="6">
        <v>6.7381000000000002</v>
      </c>
      <c r="J397" s="5">
        <v>4</v>
      </c>
      <c r="K397" s="7">
        <v>162.62100000000001</v>
      </c>
      <c r="L397" s="5">
        <v>5885</v>
      </c>
      <c r="M397" s="6">
        <v>7.99</v>
      </c>
    </row>
    <row r="398" spans="1:13" x14ac:dyDescent="0.35">
      <c r="A398" s="4" t="s">
        <v>46</v>
      </c>
      <c r="B398" s="4" t="s">
        <v>946</v>
      </c>
      <c r="C398" s="4" t="str">
        <f t="shared" si="18"/>
        <v>Affordable 1,2 &amp; 3 BHK Flats for Sale| D</v>
      </c>
      <c r="D398" s="4" t="str">
        <f t="shared" ca="1" si="19"/>
        <v>Older</v>
      </c>
      <c r="E398" s="13">
        <v>45638</v>
      </c>
      <c r="F398" s="23">
        <f t="shared" si="20"/>
        <v>45657</v>
      </c>
      <c r="G398" s="5">
        <v>131</v>
      </c>
      <c r="H398" s="5">
        <v>4489</v>
      </c>
      <c r="I398" s="6">
        <v>65.652799999999999</v>
      </c>
      <c r="J398" s="5">
        <v>13</v>
      </c>
      <c r="K398" s="7">
        <v>409.96499999999997</v>
      </c>
      <c r="L398" s="5">
        <v>30452</v>
      </c>
      <c r="M398" s="6">
        <v>13.13</v>
      </c>
    </row>
    <row r="399" spans="1:13" x14ac:dyDescent="0.35">
      <c r="A399" s="4" t="s">
        <v>835</v>
      </c>
      <c r="B399" s="4" t="s">
        <v>929</v>
      </c>
      <c r="C399" s="4" t="str">
        <f t="shared" si="18"/>
        <v>Chavan Advaitam Sample Flat |¨Luxury 2 &amp;</v>
      </c>
      <c r="D399" s="4" t="str">
        <f t="shared" ca="1" si="19"/>
        <v>Older</v>
      </c>
      <c r="E399" s="13">
        <v>45633</v>
      </c>
      <c r="F399" s="23">
        <f t="shared" si="20"/>
        <v>45657</v>
      </c>
      <c r="G399" s="5">
        <v>81</v>
      </c>
      <c r="H399" s="5">
        <v>631</v>
      </c>
      <c r="I399" s="6">
        <v>9.6060999999999996</v>
      </c>
      <c r="J399" s="5">
        <v>0</v>
      </c>
      <c r="K399" s="7">
        <v>36.554000000000002</v>
      </c>
      <c r="L399" s="5">
        <v>2556</v>
      </c>
      <c r="M399" s="6">
        <v>19.25</v>
      </c>
    </row>
    <row r="400" spans="1:13" x14ac:dyDescent="0.35">
      <c r="A400" s="4" t="s">
        <v>212</v>
      </c>
      <c r="B400" s="4" t="s">
        <v>213</v>
      </c>
      <c r="C400" s="4" t="str">
        <f t="shared" si="18"/>
        <v>Venus Skky City Dombivli | 1 &amp; 2 BHK Dec</v>
      </c>
      <c r="D400" s="4" t="str">
        <f t="shared" ca="1" si="19"/>
        <v>Older</v>
      </c>
      <c r="E400" s="13">
        <v>45620</v>
      </c>
      <c r="F400" s="23">
        <f t="shared" si="20"/>
        <v>45626</v>
      </c>
      <c r="G400" s="5">
        <v>145</v>
      </c>
      <c r="H400" s="5">
        <v>1575</v>
      </c>
      <c r="I400" s="6">
        <v>26.4268</v>
      </c>
      <c r="J400" s="5">
        <v>6</v>
      </c>
      <c r="K400" s="7">
        <v>459.79599999999999</v>
      </c>
      <c r="L400" s="5">
        <v>9370</v>
      </c>
      <c r="M400" s="6">
        <v>14.75</v>
      </c>
    </row>
    <row r="401" spans="1:13" x14ac:dyDescent="0.35">
      <c r="A401" s="4" t="s">
        <v>223</v>
      </c>
      <c r="B401" s="4" t="s">
        <v>915</v>
      </c>
      <c r="C401" s="4" t="str">
        <f t="shared" si="18"/>
        <v>Nirvana Gardens Kalyan | 1 bhk at 46 Lak</v>
      </c>
      <c r="D401" s="4" t="str">
        <f t="shared" ca="1" si="19"/>
        <v>Older</v>
      </c>
      <c r="E401" s="13">
        <v>45620</v>
      </c>
      <c r="F401" s="23">
        <f t="shared" si="20"/>
        <v>45626</v>
      </c>
      <c r="G401" s="5">
        <v>54</v>
      </c>
      <c r="H401" s="5">
        <v>1556</v>
      </c>
      <c r="I401" s="6">
        <v>10.261100000000001</v>
      </c>
      <c r="J401" s="5">
        <v>0</v>
      </c>
      <c r="K401" s="7">
        <v>0.86899999999999999</v>
      </c>
      <c r="L401" s="5">
        <v>8293</v>
      </c>
      <c r="M401" s="6">
        <v>10.33</v>
      </c>
    </row>
    <row r="402" spans="1:13" x14ac:dyDescent="0.35">
      <c r="A402" s="4" t="s">
        <v>22</v>
      </c>
      <c r="B402" s="4" t="s">
        <v>911</v>
      </c>
      <c r="C402" s="4" t="str">
        <f t="shared" si="18"/>
        <v>Kohinoor Eden Kalyan | 1 &amp; 2 BHK Flats S</v>
      </c>
      <c r="D402" s="4" t="str">
        <f t="shared" ca="1" si="19"/>
        <v>Older</v>
      </c>
      <c r="E402" s="13">
        <v>45618</v>
      </c>
      <c r="F402" s="23">
        <f t="shared" si="20"/>
        <v>45626</v>
      </c>
      <c r="G402" s="5">
        <v>44</v>
      </c>
      <c r="H402" s="5">
        <v>11072</v>
      </c>
      <c r="I402" s="6">
        <v>63.210999999999999</v>
      </c>
      <c r="J402" s="5">
        <v>5</v>
      </c>
      <c r="K402" s="7">
        <v>6.0869999999999997</v>
      </c>
      <c r="L402" s="5">
        <v>58562</v>
      </c>
      <c r="M402" s="6">
        <v>6.66</v>
      </c>
    </row>
    <row r="403" spans="1:13" x14ac:dyDescent="0.35">
      <c r="A403" s="4" t="s">
        <v>843</v>
      </c>
      <c r="B403" s="4" t="s">
        <v>928</v>
      </c>
      <c r="C403" s="4" t="str">
        <f t="shared" si="18"/>
        <v xml:space="preserve">A1 Living Titwala | 1 BHK Flat Starting </v>
      </c>
      <c r="D403" s="4" t="str">
        <f t="shared" ca="1" si="19"/>
        <v>Older</v>
      </c>
      <c r="E403" s="13">
        <v>45618</v>
      </c>
      <c r="F403" s="23">
        <f t="shared" si="20"/>
        <v>45626</v>
      </c>
      <c r="G403" s="5">
        <v>123</v>
      </c>
      <c r="H403" s="5">
        <v>624</v>
      </c>
      <c r="I403" s="6">
        <v>9.6737000000000002</v>
      </c>
      <c r="J403" s="5">
        <v>1</v>
      </c>
      <c r="K403" s="7">
        <v>51.262999999999998</v>
      </c>
      <c r="L403" s="5">
        <v>2896</v>
      </c>
      <c r="M403" s="6">
        <v>17.989999999999998</v>
      </c>
    </row>
    <row r="404" spans="1:13" x14ac:dyDescent="0.35">
      <c r="A404" s="4" t="s">
        <v>470</v>
      </c>
      <c r="B404" s="4" t="s">
        <v>471</v>
      </c>
      <c r="C404" s="4" t="str">
        <f t="shared" si="18"/>
        <v xml:space="preserve">Kohinoor Prime Shahad | 1 &amp; 2 BHK Flats </v>
      </c>
      <c r="D404" s="4" t="str">
        <f t="shared" ca="1" si="19"/>
        <v>Older</v>
      </c>
      <c r="E404" s="13">
        <v>45617</v>
      </c>
      <c r="F404" s="23">
        <f t="shared" si="20"/>
        <v>45626</v>
      </c>
      <c r="G404" s="5">
        <v>59</v>
      </c>
      <c r="H404" s="5">
        <v>998</v>
      </c>
      <c r="I404" s="6">
        <v>8.9383999999999997</v>
      </c>
      <c r="J404" s="5">
        <v>0</v>
      </c>
      <c r="K404" s="7">
        <v>0.51700000000000002</v>
      </c>
      <c r="L404" s="5">
        <v>5030</v>
      </c>
      <c r="M404" s="6">
        <v>8.51</v>
      </c>
    </row>
    <row r="405" spans="1:13" x14ac:dyDescent="0.35">
      <c r="A405" s="4" t="s">
        <v>772</v>
      </c>
      <c r="B405" s="4" t="s">
        <v>773</v>
      </c>
      <c r="C405" s="4" t="str">
        <f t="shared" si="18"/>
        <v xml:space="preserve">Sai World Legend Ulhasnagar | Luxurious </v>
      </c>
      <c r="D405" s="4" t="str">
        <f t="shared" ca="1" si="19"/>
        <v>Older</v>
      </c>
      <c r="E405" s="13">
        <v>45617</v>
      </c>
      <c r="F405" s="23">
        <f t="shared" si="20"/>
        <v>45626</v>
      </c>
      <c r="G405" s="5">
        <v>46</v>
      </c>
      <c r="H405" s="5">
        <v>690</v>
      </c>
      <c r="I405" s="6">
        <v>2.8369</v>
      </c>
      <c r="J405" s="5">
        <v>0</v>
      </c>
      <c r="K405" s="7">
        <v>0.33900000000000002</v>
      </c>
      <c r="L405" s="5">
        <v>5381</v>
      </c>
      <c r="M405" s="6">
        <v>4.5199999999999996</v>
      </c>
    </row>
    <row r="406" spans="1:13" x14ac:dyDescent="0.35">
      <c r="A406" s="4" t="s">
        <v>585</v>
      </c>
      <c r="B406" s="4" t="s">
        <v>922</v>
      </c>
      <c r="C406" s="4" t="str">
        <f t="shared" si="18"/>
        <v xml:space="preserve">Nirvana Gardens Kalyan | 1, 2 and 3 BHK </v>
      </c>
      <c r="D406" s="4" t="str">
        <f t="shared" ca="1" si="19"/>
        <v>Older</v>
      </c>
      <c r="E406" s="13">
        <v>45615</v>
      </c>
      <c r="F406" s="23">
        <f t="shared" si="20"/>
        <v>45626</v>
      </c>
      <c r="G406" s="5">
        <v>63</v>
      </c>
      <c r="H406" s="5">
        <v>856</v>
      </c>
      <c r="I406" s="6">
        <v>6.8930999999999996</v>
      </c>
      <c r="J406" s="5">
        <v>0</v>
      </c>
      <c r="K406" s="7">
        <v>0.36699999999999999</v>
      </c>
      <c r="L406" s="5">
        <v>5246</v>
      </c>
      <c r="M406" s="6">
        <v>6.94</v>
      </c>
    </row>
    <row r="407" spans="1:13" x14ac:dyDescent="0.35">
      <c r="A407" s="4" t="s">
        <v>791</v>
      </c>
      <c r="B407" s="4" t="s">
        <v>792</v>
      </c>
      <c r="C407" s="4" t="str">
        <f t="shared" si="18"/>
        <v xml:space="preserve">Sai World Dreams Dombivli | Sample Flat </v>
      </c>
      <c r="D407" s="4" t="str">
        <f t="shared" ca="1" si="19"/>
        <v>Older</v>
      </c>
      <c r="E407" s="13">
        <v>45613</v>
      </c>
      <c r="F407" s="23">
        <f t="shared" si="20"/>
        <v>45626</v>
      </c>
      <c r="G407" s="5">
        <v>1236</v>
      </c>
      <c r="H407" s="5">
        <v>676</v>
      </c>
      <c r="I407" s="6">
        <v>40.4818</v>
      </c>
      <c r="J407" s="5">
        <v>4</v>
      </c>
      <c r="K407" s="7">
        <v>95.725999999999999</v>
      </c>
      <c r="L407" s="5">
        <v>7058</v>
      </c>
      <c r="M407" s="6">
        <v>7.03</v>
      </c>
    </row>
    <row r="408" spans="1:13" x14ac:dyDescent="0.35">
      <c r="A408" s="4" t="s">
        <v>812</v>
      </c>
      <c r="B408" s="4" t="s">
        <v>999</v>
      </c>
      <c r="C408" s="4" t="str">
        <f t="shared" si="18"/>
        <v>Fully Furnished | 1BHK, 2BHK | Don't Mis</v>
      </c>
      <c r="D408" s="4" t="str">
        <f t="shared" ca="1" si="19"/>
        <v>Older</v>
      </c>
      <c r="E408" s="13">
        <v>45602</v>
      </c>
      <c r="F408" s="23">
        <f t="shared" si="20"/>
        <v>45626</v>
      </c>
      <c r="G408" s="5">
        <v>44</v>
      </c>
      <c r="H408" s="5">
        <v>642</v>
      </c>
      <c r="I408" s="6">
        <v>3.6011000000000002</v>
      </c>
      <c r="J408" s="5">
        <v>0</v>
      </c>
      <c r="K408" s="7">
        <v>0.30399999999999999</v>
      </c>
      <c r="L408" s="5">
        <v>4427</v>
      </c>
      <c r="M408" s="6">
        <v>6.28</v>
      </c>
    </row>
    <row r="409" spans="1:13" x14ac:dyDescent="0.35">
      <c r="A409" s="4" t="s">
        <v>746</v>
      </c>
      <c r="B409" s="4" t="s">
        <v>997</v>
      </c>
      <c r="C409" s="4" t="str">
        <f t="shared" si="18"/>
        <v>Luxury 1BHK, 2BHK Flat for Sale in Dombi</v>
      </c>
      <c r="D409" s="4" t="str">
        <f t="shared" ca="1" si="19"/>
        <v>Older</v>
      </c>
      <c r="E409" s="13">
        <v>45601</v>
      </c>
      <c r="F409" s="23">
        <f t="shared" si="20"/>
        <v>45626</v>
      </c>
      <c r="G409" s="5">
        <v>60</v>
      </c>
      <c r="H409" s="5">
        <v>723</v>
      </c>
      <c r="I409" s="6">
        <v>4.5658000000000003</v>
      </c>
      <c r="J409" s="5">
        <v>0</v>
      </c>
      <c r="K409" s="7">
        <v>0.32600000000000001</v>
      </c>
      <c r="L409" s="5">
        <v>3208</v>
      </c>
      <c r="M409" s="6">
        <v>8.92</v>
      </c>
    </row>
    <row r="410" spans="1:13" x14ac:dyDescent="0.35">
      <c r="A410" s="4" t="s">
        <v>439</v>
      </c>
      <c r="B410" s="4" t="s">
        <v>440</v>
      </c>
      <c r="C410" s="4" t="str">
        <f t="shared" si="18"/>
        <v xml:space="preserve">Elite Galaxy Dombivli | Fully Furnished </v>
      </c>
      <c r="D410" s="4" t="str">
        <f t="shared" ca="1" si="19"/>
        <v>Older</v>
      </c>
      <c r="E410" s="13">
        <v>45598</v>
      </c>
      <c r="F410" s="23">
        <f t="shared" si="20"/>
        <v>45626</v>
      </c>
      <c r="G410" s="5">
        <v>102</v>
      </c>
      <c r="H410" s="5">
        <v>1054</v>
      </c>
      <c r="I410" s="6">
        <v>14.685</v>
      </c>
      <c r="J410" s="5">
        <v>0</v>
      </c>
      <c r="K410" s="7">
        <v>55.161999999999999</v>
      </c>
      <c r="L410" s="5">
        <v>2099</v>
      </c>
      <c r="M410" s="6">
        <v>11.58</v>
      </c>
    </row>
    <row r="411" spans="1:13" x14ac:dyDescent="0.35">
      <c r="A411" s="4" t="s">
        <v>754</v>
      </c>
      <c r="B411" s="4" t="s">
        <v>755</v>
      </c>
      <c r="C411" s="4" t="str">
        <f t="shared" si="18"/>
        <v>1 BHK Flat in Titwala New construction |</v>
      </c>
      <c r="D411" s="4" t="str">
        <f t="shared" ca="1" si="19"/>
        <v>Older</v>
      </c>
      <c r="E411" s="13">
        <v>45582</v>
      </c>
      <c r="F411" s="23">
        <f t="shared" si="20"/>
        <v>45596</v>
      </c>
      <c r="G411" s="5">
        <v>68</v>
      </c>
      <c r="H411" s="5">
        <v>712</v>
      </c>
      <c r="I411" s="6">
        <v>7.0298999999999996</v>
      </c>
      <c r="J411" s="5">
        <v>1</v>
      </c>
      <c r="K411" s="7">
        <v>19.271999999999998</v>
      </c>
      <c r="L411" s="5">
        <v>4021</v>
      </c>
      <c r="M411" s="6">
        <v>12.21</v>
      </c>
    </row>
    <row r="412" spans="1:13" x14ac:dyDescent="0.35">
      <c r="A412" s="4" t="s">
        <v>79</v>
      </c>
      <c r="B412" s="4" t="s">
        <v>960</v>
      </c>
      <c r="C412" s="4" t="str">
        <f t="shared" si="18"/>
        <v>Shubharambh Titwala | Affordable 1 BHK a</v>
      </c>
      <c r="D412" s="4" t="str">
        <f t="shared" ca="1" si="19"/>
        <v>Older</v>
      </c>
      <c r="E412" s="13">
        <v>45581</v>
      </c>
      <c r="F412" s="23">
        <f t="shared" si="20"/>
        <v>45596</v>
      </c>
      <c r="G412" s="5">
        <v>60</v>
      </c>
      <c r="H412" s="5">
        <v>2881</v>
      </c>
      <c r="I412" s="6">
        <v>19.398399999999999</v>
      </c>
      <c r="J412" s="5">
        <v>2</v>
      </c>
      <c r="K412" s="7">
        <v>1.323</v>
      </c>
      <c r="L412" s="5">
        <v>18129</v>
      </c>
      <c r="M412" s="6">
        <v>6.54</v>
      </c>
    </row>
    <row r="413" spans="1:13" x14ac:dyDescent="0.35">
      <c r="A413" s="4" t="s">
        <v>628</v>
      </c>
      <c r="B413" s="4" t="s">
        <v>960</v>
      </c>
      <c r="C413" s="4" t="str">
        <f t="shared" si="18"/>
        <v>Shubharambh Titwala | Affordable 1 BHK a</v>
      </c>
      <c r="D413" s="4" t="str">
        <f t="shared" ca="1" si="19"/>
        <v>Older</v>
      </c>
      <c r="E413" s="13">
        <v>45581</v>
      </c>
      <c r="F413" s="23">
        <f t="shared" si="20"/>
        <v>45596</v>
      </c>
      <c r="G413" s="5">
        <v>61</v>
      </c>
      <c r="H413" s="5">
        <v>828</v>
      </c>
      <c r="I413" s="6">
        <v>5.0484</v>
      </c>
      <c r="J413" s="5">
        <v>1</v>
      </c>
      <c r="K413" s="7">
        <v>0.29599999999999999</v>
      </c>
      <c r="L413" s="5">
        <v>5758</v>
      </c>
      <c r="M413" s="6">
        <v>4.5</v>
      </c>
    </row>
    <row r="414" spans="1:13" x14ac:dyDescent="0.35">
      <c r="A414" s="4" t="s">
        <v>56</v>
      </c>
      <c r="B414" s="4" t="s">
        <v>961</v>
      </c>
      <c r="C414" s="4" t="str">
        <f t="shared" si="18"/>
        <v>Shubharambh | Titwala | Affordable 1 BHK</v>
      </c>
      <c r="D414" s="4" t="str">
        <f t="shared" ca="1" si="19"/>
        <v>Older</v>
      </c>
      <c r="E414" s="13">
        <v>45562</v>
      </c>
      <c r="F414" s="23">
        <f t="shared" si="20"/>
        <v>45565</v>
      </c>
      <c r="G414" s="5">
        <v>60</v>
      </c>
      <c r="H414" s="5">
        <v>3984</v>
      </c>
      <c r="I414" s="6">
        <v>40.119</v>
      </c>
      <c r="J414" s="5">
        <v>12</v>
      </c>
      <c r="K414" s="7">
        <v>285.99400000000003</v>
      </c>
      <c r="L414" s="5">
        <v>18023</v>
      </c>
      <c r="M414" s="6">
        <v>16.350000000000001</v>
      </c>
    </row>
    <row r="415" spans="1:13" x14ac:dyDescent="0.35">
      <c r="A415" s="4" t="s">
        <v>55</v>
      </c>
      <c r="B415" s="4" t="s">
        <v>947</v>
      </c>
      <c r="C415" s="4" t="str">
        <f t="shared" si="18"/>
        <v>Godrej Riviera Kalyan | Luxurious 1 &amp; 2</v>
      </c>
      <c r="D415" s="4" t="str">
        <f t="shared" ca="1" si="19"/>
        <v>Older</v>
      </c>
      <c r="E415" s="13">
        <v>45535</v>
      </c>
      <c r="F415" s="23">
        <f t="shared" si="20"/>
        <v>45535</v>
      </c>
      <c r="G415" s="5">
        <v>53</v>
      </c>
      <c r="H415" s="5">
        <v>4007</v>
      </c>
      <c r="I415" s="6">
        <v>25.039000000000001</v>
      </c>
      <c r="J415" s="5">
        <v>7</v>
      </c>
      <c r="K415" s="7">
        <v>2.3340000000000001</v>
      </c>
      <c r="L415" s="5">
        <v>21870</v>
      </c>
      <c r="M415" s="6">
        <v>8</v>
      </c>
    </row>
    <row r="416" spans="1:13" x14ac:dyDescent="0.35">
      <c r="A416" s="4" t="s">
        <v>518</v>
      </c>
      <c r="B416" s="4" t="s">
        <v>519</v>
      </c>
      <c r="C416" s="4" t="str">
        <f t="shared" si="18"/>
        <v>Balaji Vishant Dombivli | Balaji Vishant</v>
      </c>
      <c r="D416" s="4" t="str">
        <f t="shared" ca="1" si="19"/>
        <v>Older</v>
      </c>
      <c r="E416" s="13">
        <v>45533</v>
      </c>
      <c r="F416" s="23">
        <f t="shared" si="20"/>
        <v>45535</v>
      </c>
      <c r="G416" s="5">
        <v>60</v>
      </c>
      <c r="H416" s="5">
        <v>945</v>
      </c>
      <c r="I416" s="6">
        <v>6.6878000000000002</v>
      </c>
      <c r="J416" s="5">
        <v>0</v>
      </c>
      <c r="K416" s="7">
        <v>0.371</v>
      </c>
      <c r="L416" s="5">
        <v>4781</v>
      </c>
      <c r="M416" s="6">
        <v>6.59</v>
      </c>
    </row>
    <row r="417" spans="1:13" x14ac:dyDescent="0.35">
      <c r="A417" s="4" t="s">
        <v>399</v>
      </c>
      <c r="B417" s="4" t="s">
        <v>953</v>
      </c>
      <c r="C417" s="4" t="str">
        <f t="shared" si="18"/>
        <v>Nature Vista Kalyan| Affordable Luxurio</v>
      </c>
      <c r="D417" s="4" t="str">
        <f t="shared" ca="1" si="19"/>
        <v>Older</v>
      </c>
      <c r="E417" s="13">
        <v>45531</v>
      </c>
      <c r="F417" s="23">
        <f t="shared" si="20"/>
        <v>45535</v>
      </c>
      <c r="G417" s="5">
        <v>60</v>
      </c>
      <c r="H417" s="5">
        <v>1115</v>
      </c>
      <c r="I417" s="6">
        <v>7.2361000000000004</v>
      </c>
      <c r="J417" s="5">
        <v>1</v>
      </c>
      <c r="K417" s="7">
        <v>0.59899999999999998</v>
      </c>
      <c r="L417" s="5">
        <v>7063</v>
      </c>
      <c r="M417" s="6">
        <v>6.7</v>
      </c>
    </row>
    <row r="418" spans="1:13" x14ac:dyDescent="0.35">
      <c r="A418" s="4" t="s">
        <v>57</v>
      </c>
      <c r="B418" s="4" t="s">
        <v>882</v>
      </c>
      <c r="C418" s="4" t="str">
        <f t="shared" si="18"/>
        <v>1 BHK FLAT NEAR DMART | Flats in Dombivl</v>
      </c>
      <c r="D418" s="4" t="str">
        <f t="shared" ca="1" si="19"/>
        <v>Older</v>
      </c>
      <c r="E418" s="13">
        <v>45526</v>
      </c>
      <c r="F418" s="23">
        <f t="shared" si="20"/>
        <v>45535</v>
      </c>
      <c r="G418" s="5">
        <v>23</v>
      </c>
      <c r="H418" s="5">
        <v>3775</v>
      </c>
      <c r="I418" s="6">
        <v>13.786</v>
      </c>
      <c r="J418" s="5">
        <v>5</v>
      </c>
      <c r="K418" s="7">
        <v>1.766</v>
      </c>
      <c r="L418" s="5">
        <v>24805</v>
      </c>
      <c r="M418" s="6">
        <v>5.58</v>
      </c>
    </row>
    <row r="419" spans="1:13" x14ac:dyDescent="0.35">
      <c r="A419" s="4" t="s">
        <v>425</v>
      </c>
      <c r="B419" s="4" t="s">
        <v>426</v>
      </c>
      <c r="C419" s="4" t="str">
        <f t="shared" si="18"/>
        <v>Godrej Vihaa Badlapur 2 BHK price | Best</v>
      </c>
      <c r="D419" s="4" t="str">
        <f t="shared" ca="1" si="19"/>
        <v>Older</v>
      </c>
      <c r="E419" s="13">
        <v>45526</v>
      </c>
      <c r="F419" s="23">
        <f t="shared" si="20"/>
        <v>45535</v>
      </c>
      <c r="G419" s="5">
        <v>121</v>
      </c>
      <c r="H419" s="5">
        <v>1066</v>
      </c>
      <c r="I419" s="6">
        <v>17.586600000000001</v>
      </c>
      <c r="J419" s="5">
        <v>0</v>
      </c>
      <c r="K419" s="7">
        <v>115.44499999999999</v>
      </c>
      <c r="L419" s="5">
        <v>5682</v>
      </c>
      <c r="M419" s="6">
        <v>14.26</v>
      </c>
    </row>
    <row r="420" spans="1:13" x14ac:dyDescent="0.35">
      <c r="A420" s="4" t="s">
        <v>51</v>
      </c>
      <c r="B420" s="4" t="s">
        <v>959</v>
      </c>
      <c r="C420" s="4" t="str">
        <f t="shared" si="18"/>
        <v>2BHK Flats in Kalyan For Sale | Best Fl</v>
      </c>
      <c r="D420" s="4" t="str">
        <f t="shared" ca="1" si="19"/>
        <v>Older</v>
      </c>
      <c r="E420" s="13">
        <v>45524</v>
      </c>
      <c r="F420" s="23">
        <f t="shared" si="20"/>
        <v>45535</v>
      </c>
      <c r="G420" s="5">
        <v>10</v>
      </c>
      <c r="H420" s="5">
        <v>4225</v>
      </c>
      <c r="I420" s="6">
        <v>9.0936000000000003</v>
      </c>
      <c r="J420" s="5">
        <v>4</v>
      </c>
      <c r="K420" s="7">
        <v>1.899</v>
      </c>
      <c r="L420" s="5">
        <v>29733</v>
      </c>
      <c r="M420" s="6">
        <v>4.17</v>
      </c>
    </row>
    <row r="421" spans="1:13" x14ac:dyDescent="0.35">
      <c r="A421" s="4" t="s">
        <v>379</v>
      </c>
      <c r="B421" s="4" t="s">
        <v>973</v>
      </c>
      <c r="C421" s="4" t="str">
        <f t="shared" si="18"/>
        <v>Flats in Kalyan Below 25 Lakhs| Startin</v>
      </c>
      <c r="D421" s="4" t="str">
        <f t="shared" ca="1" si="19"/>
        <v>Older</v>
      </c>
      <c r="E421" s="13">
        <v>45515</v>
      </c>
      <c r="F421" s="23">
        <f t="shared" si="20"/>
        <v>45535</v>
      </c>
      <c r="G421" s="5">
        <v>38</v>
      </c>
      <c r="H421" s="5">
        <v>1163</v>
      </c>
      <c r="I421" s="6">
        <v>7.1074999999999999</v>
      </c>
      <c r="J421" s="5">
        <v>5</v>
      </c>
      <c r="K421" s="7">
        <v>76.111999999999995</v>
      </c>
      <c r="L421" s="5">
        <v>9627</v>
      </c>
      <c r="M421" s="6">
        <v>9.74</v>
      </c>
    </row>
    <row r="422" spans="1:13" x14ac:dyDescent="0.35">
      <c r="A422" s="4" t="s">
        <v>569</v>
      </c>
      <c r="B422" s="4" t="s">
        <v>570</v>
      </c>
      <c r="C422" s="4" t="str">
        <f t="shared" si="18"/>
        <v>2 Bhk Flats Under 35 Lakhs in Kalyan Wes</v>
      </c>
      <c r="D422" s="4" t="str">
        <f t="shared" ca="1" si="19"/>
        <v>Older</v>
      </c>
      <c r="E422" s="13">
        <v>45515</v>
      </c>
      <c r="F422" s="23">
        <f t="shared" si="20"/>
        <v>45535</v>
      </c>
      <c r="G422" s="5">
        <v>60</v>
      </c>
      <c r="H422" s="5">
        <v>889</v>
      </c>
      <c r="I422" s="6">
        <v>8.6095000000000006</v>
      </c>
      <c r="J422" s="5">
        <v>4</v>
      </c>
      <c r="K422" s="7">
        <v>38.304000000000002</v>
      </c>
      <c r="L422" s="5">
        <v>7335</v>
      </c>
      <c r="M422" s="6">
        <v>10.52</v>
      </c>
    </row>
    <row r="423" spans="1:13" x14ac:dyDescent="0.35">
      <c r="A423" s="4" t="s">
        <v>396</v>
      </c>
      <c r="B423" s="4" t="s">
        <v>952</v>
      </c>
      <c r="C423" s="4" t="str">
        <f t="shared" si="18"/>
        <v>2 bhk Flat in Kalyan West Rambaug| 2 bh</v>
      </c>
      <c r="D423" s="4" t="str">
        <f t="shared" ca="1" si="19"/>
        <v>Older</v>
      </c>
      <c r="E423" s="13">
        <v>45512</v>
      </c>
      <c r="F423" s="23">
        <f t="shared" si="20"/>
        <v>45535</v>
      </c>
      <c r="G423" s="5">
        <v>69</v>
      </c>
      <c r="H423" s="5">
        <v>1135</v>
      </c>
      <c r="I423" s="6">
        <v>12.332599999999999</v>
      </c>
      <c r="J423" s="5">
        <v>3</v>
      </c>
      <c r="K423" s="7">
        <v>65.843999999999994</v>
      </c>
      <c r="L423" s="5">
        <v>10465</v>
      </c>
      <c r="M423" s="6">
        <v>9.86</v>
      </c>
    </row>
    <row r="424" spans="1:13" x14ac:dyDescent="0.35">
      <c r="A424" s="4" t="s">
        <v>77</v>
      </c>
      <c r="B424" s="4" t="s">
        <v>78</v>
      </c>
      <c r="C424" s="4" t="str">
        <f t="shared" si="18"/>
        <v>1 BHK Flat in Kalyan Below 20 lakhs | Lo</v>
      </c>
      <c r="D424" s="4" t="str">
        <f t="shared" ca="1" si="19"/>
        <v>Older</v>
      </c>
      <c r="E424" s="13">
        <v>45508</v>
      </c>
      <c r="F424" s="23">
        <f t="shared" si="20"/>
        <v>45535</v>
      </c>
      <c r="G424" s="5">
        <v>61</v>
      </c>
      <c r="H424" s="5">
        <v>2971</v>
      </c>
      <c r="I424" s="6">
        <v>29.086300000000001</v>
      </c>
      <c r="J424" s="5">
        <v>13</v>
      </c>
      <c r="K424" s="7">
        <v>145.815</v>
      </c>
      <c r="L424" s="5">
        <v>21537</v>
      </c>
      <c r="M424" s="6">
        <v>12.18</v>
      </c>
    </row>
    <row r="425" spans="1:13" x14ac:dyDescent="0.35">
      <c r="A425" s="4" t="s">
        <v>15</v>
      </c>
      <c r="B425" s="4" t="s">
        <v>905</v>
      </c>
      <c r="C425" s="4" t="str">
        <f t="shared" si="18"/>
        <v>1BHK in Dombivli For Urgent Sale..! | Be</v>
      </c>
      <c r="D425" s="4" t="str">
        <f t="shared" ca="1" si="19"/>
        <v>Older</v>
      </c>
      <c r="E425" s="13">
        <v>45507</v>
      </c>
      <c r="F425" s="23">
        <f t="shared" si="20"/>
        <v>45535</v>
      </c>
      <c r="G425" s="5">
        <v>15</v>
      </c>
      <c r="H425" s="5">
        <v>59152</v>
      </c>
      <c r="I425" s="6">
        <v>141.93549999999999</v>
      </c>
      <c r="J425" s="5">
        <v>59</v>
      </c>
      <c r="K425" s="7">
        <v>22.24</v>
      </c>
      <c r="L425" s="5">
        <v>349477</v>
      </c>
      <c r="M425" s="6">
        <v>4.55</v>
      </c>
    </row>
    <row r="426" spans="1:13" x14ac:dyDescent="0.35">
      <c r="A426" s="4" t="s">
        <v>400</v>
      </c>
      <c r="B426" s="4" t="s">
        <v>954</v>
      </c>
      <c r="C426" s="4" t="str">
        <f t="shared" si="18"/>
        <v xml:space="preserve">Kohinoor Highland Dombivli| Dombivli 1 </v>
      </c>
      <c r="D426" s="4" t="str">
        <f t="shared" ca="1" si="19"/>
        <v>Older</v>
      </c>
      <c r="E426" s="13">
        <v>45505</v>
      </c>
      <c r="F426" s="23">
        <f t="shared" si="20"/>
        <v>45535</v>
      </c>
      <c r="G426" s="5">
        <v>60</v>
      </c>
      <c r="H426" s="5">
        <v>1113</v>
      </c>
      <c r="I426" s="6">
        <v>8.0518000000000001</v>
      </c>
      <c r="J426" s="5">
        <v>2</v>
      </c>
      <c r="K426" s="7">
        <v>0.53400000000000003</v>
      </c>
      <c r="L426" s="5">
        <v>6665</v>
      </c>
      <c r="M426" s="6">
        <v>8.07</v>
      </c>
    </row>
    <row r="427" spans="1:13" x14ac:dyDescent="0.35">
      <c r="A427" s="4" t="s">
        <v>756</v>
      </c>
      <c r="B427" s="4" t="s">
        <v>998</v>
      </c>
      <c r="C427" s="4" t="str">
        <f t="shared" si="18"/>
        <v>Regency Sarvam Titwala | 1&amp; 2 BHK Flat i</v>
      </c>
      <c r="D427" s="4" t="str">
        <f t="shared" ca="1" si="19"/>
        <v>Older</v>
      </c>
      <c r="E427" s="13">
        <v>45480</v>
      </c>
      <c r="F427" s="23">
        <f t="shared" si="20"/>
        <v>45504</v>
      </c>
      <c r="G427" s="5">
        <v>359</v>
      </c>
      <c r="H427" s="5">
        <v>712</v>
      </c>
      <c r="I427" s="6">
        <v>15.8758</v>
      </c>
      <c r="J427" s="5">
        <v>2</v>
      </c>
      <c r="K427" s="7">
        <v>81.41</v>
      </c>
      <c r="L427" s="5">
        <v>4699</v>
      </c>
      <c r="M427" s="6">
        <v>12.94</v>
      </c>
    </row>
    <row r="428" spans="1:13" x14ac:dyDescent="0.35">
      <c r="A428" s="4" t="s">
        <v>853</v>
      </c>
      <c r="B428" s="4" t="s">
        <v>910</v>
      </c>
      <c r="C428" s="4" t="str">
        <f t="shared" si="18"/>
        <v>A1 Living Titwala| 1 &amp; 2 BHK Flat for Sa</v>
      </c>
      <c r="D428" s="4" t="str">
        <f t="shared" ca="1" si="19"/>
        <v>Older</v>
      </c>
      <c r="E428" s="13">
        <v>45480</v>
      </c>
      <c r="F428" s="23">
        <f t="shared" si="20"/>
        <v>45504</v>
      </c>
      <c r="G428" s="5">
        <v>51</v>
      </c>
      <c r="H428" s="5">
        <v>616</v>
      </c>
      <c r="I428" s="6">
        <v>4.8018000000000001</v>
      </c>
      <c r="J428" s="5">
        <v>1</v>
      </c>
      <c r="K428" s="7">
        <v>61.878</v>
      </c>
      <c r="L428" s="5">
        <v>4845</v>
      </c>
      <c r="M428" s="6">
        <v>11.17</v>
      </c>
    </row>
    <row r="429" spans="1:13" x14ac:dyDescent="0.35">
      <c r="A429" s="4" t="s">
        <v>534</v>
      </c>
      <c r="B429" s="4" t="s">
        <v>907</v>
      </c>
      <c r="C429" s="4" t="str">
        <f t="shared" si="18"/>
        <v xml:space="preserve">Top 5 Ready to Move Property| 1 &amp; 2 BHK </v>
      </c>
      <c r="D429" s="4" t="str">
        <f t="shared" ca="1" si="19"/>
        <v>Older</v>
      </c>
      <c r="E429" s="13">
        <v>45470</v>
      </c>
      <c r="F429" s="23">
        <f t="shared" si="20"/>
        <v>45473</v>
      </c>
      <c r="G429" s="5">
        <v>77</v>
      </c>
      <c r="H429" s="5">
        <v>933</v>
      </c>
      <c r="I429" s="6">
        <v>12.4352</v>
      </c>
      <c r="J429" s="5">
        <v>0</v>
      </c>
      <c r="K429" s="7">
        <v>142.77000000000001</v>
      </c>
      <c r="L429" s="5">
        <v>9467</v>
      </c>
      <c r="M429" s="6">
        <v>8.17</v>
      </c>
    </row>
    <row r="430" spans="1:13" x14ac:dyDescent="0.35">
      <c r="A430" s="4" t="s">
        <v>258</v>
      </c>
      <c r="B430" s="4" t="s">
        <v>259</v>
      </c>
      <c r="C430" s="4" t="str">
        <f t="shared" si="18"/>
        <v xml:space="preserve">Haware Kalyan 1 &amp; 2 BHK Flat for Sale | </v>
      </c>
      <c r="D430" s="4" t="str">
        <f t="shared" ca="1" si="19"/>
        <v>Older</v>
      </c>
      <c r="E430" s="13">
        <v>45445</v>
      </c>
      <c r="F430" s="23">
        <f t="shared" si="20"/>
        <v>45473</v>
      </c>
      <c r="G430" s="5">
        <v>172</v>
      </c>
      <c r="H430" s="5">
        <v>1429</v>
      </c>
      <c r="I430" s="6">
        <v>25.962800000000001</v>
      </c>
      <c r="J430" s="5">
        <v>3</v>
      </c>
      <c r="K430" s="7">
        <v>74.643000000000001</v>
      </c>
      <c r="L430" s="5">
        <v>8587</v>
      </c>
      <c r="M430" s="6">
        <v>13.81</v>
      </c>
    </row>
    <row r="431" spans="1:13" x14ac:dyDescent="0.35">
      <c r="A431" s="4" t="s">
        <v>98</v>
      </c>
      <c r="B431" s="4" t="s">
        <v>99</v>
      </c>
      <c r="C431" s="4" t="str">
        <f t="shared" si="18"/>
        <v>Regency Anantam NXT | Magic Phir Se | 1/</v>
      </c>
      <c r="D431" s="4" t="str">
        <f t="shared" ca="1" si="19"/>
        <v>Older</v>
      </c>
      <c r="E431" s="13">
        <v>45422</v>
      </c>
      <c r="F431" s="23">
        <f t="shared" si="20"/>
        <v>45443</v>
      </c>
      <c r="G431" s="5">
        <v>12</v>
      </c>
      <c r="H431" s="5">
        <v>2336</v>
      </c>
      <c r="I431" s="6">
        <v>4.5175999999999998</v>
      </c>
      <c r="J431" s="5">
        <v>0</v>
      </c>
      <c r="K431" s="7">
        <v>0.7</v>
      </c>
      <c r="L431" s="5">
        <v>15527</v>
      </c>
      <c r="M431" s="6">
        <v>3.12</v>
      </c>
    </row>
    <row r="432" spans="1:13" x14ac:dyDescent="0.35">
      <c r="A432" s="4" t="s">
        <v>805</v>
      </c>
      <c r="B432" s="4" t="s">
        <v>806</v>
      </c>
      <c r="C432" s="4" t="str">
        <f t="shared" si="18"/>
        <v>Tisai Heights Kalyan East | 1BHK, 2BHK F</v>
      </c>
      <c r="D432" s="4" t="str">
        <f t="shared" ca="1" si="19"/>
        <v>Older</v>
      </c>
      <c r="E432" s="13">
        <v>45409</v>
      </c>
      <c r="F432" s="23">
        <f t="shared" si="20"/>
        <v>45412</v>
      </c>
      <c r="G432" s="5">
        <v>426</v>
      </c>
      <c r="H432" s="5">
        <v>657</v>
      </c>
      <c r="I432" s="6">
        <v>19.752500000000001</v>
      </c>
      <c r="J432" s="5">
        <v>2</v>
      </c>
      <c r="K432" s="7">
        <v>33.884</v>
      </c>
      <c r="L432" s="5">
        <v>5169</v>
      </c>
      <c r="M432" s="6">
        <v>10.83</v>
      </c>
    </row>
    <row r="433" spans="1:13" x14ac:dyDescent="0.35">
      <c r="A433" s="4" t="s">
        <v>102</v>
      </c>
      <c r="B433" s="4" t="s">
        <v>103</v>
      </c>
      <c r="C433" s="4" t="str">
        <f t="shared" si="18"/>
        <v>Kohinoor Prime Shahad | 1BHK ,2BHK | Sam</v>
      </c>
      <c r="D433" s="4" t="str">
        <f t="shared" ca="1" si="19"/>
        <v>Older</v>
      </c>
      <c r="E433" s="13">
        <v>45382</v>
      </c>
      <c r="F433" s="23">
        <f t="shared" si="20"/>
        <v>45382</v>
      </c>
      <c r="G433" s="5">
        <v>39</v>
      </c>
      <c r="H433" s="5">
        <v>2309</v>
      </c>
      <c r="I433" s="6">
        <v>13.162699999999999</v>
      </c>
      <c r="J433" s="5">
        <v>2</v>
      </c>
      <c r="K433" s="7">
        <v>1.115</v>
      </c>
      <c r="L433" s="5">
        <v>12036</v>
      </c>
      <c r="M433" s="6">
        <v>8.64</v>
      </c>
    </row>
    <row r="434" spans="1:13" x14ac:dyDescent="0.35">
      <c r="A434" s="4" t="s">
        <v>436</v>
      </c>
      <c r="B434" s="4" t="s">
        <v>944</v>
      </c>
      <c r="C434" s="4" t="str">
        <f t="shared" si="18"/>
        <v xml:space="preserve">Seasons Green Kalyan West | 1BHK | 2BHK </v>
      </c>
      <c r="D434" s="4" t="str">
        <f t="shared" ca="1" si="19"/>
        <v>Older</v>
      </c>
      <c r="E434" s="13">
        <v>45380</v>
      </c>
      <c r="F434" s="23">
        <f t="shared" si="20"/>
        <v>45382</v>
      </c>
      <c r="G434" s="5">
        <v>283</v>
      </c>
      <c r="H434" s="5">
        <v>1054</v>
      </c>
      <c r="I434" s="6">
        <v>28.5258</v>
      </c>
      <c r="J434" s="5">
        <v>1</v>
      </c>
      <c r="K434" s="7">
        <v>82.17</v>
      </c>
      <c r="L434" s="5">
        <v>6652</v>
      </c>
      <c r="M434" s="6">
        <v>10.27</v>
      </c>
    </row>
    <row r="435" spans="1:13" x14ac:dyDescent="0.35">
      <c r="A435" s="4" t="s">
        <v>747</v>
      </c>
      <c r="B435" s="4" t="s">
        <v>748</v>
      </c>
      <c r="C435" s="4" t="str">
        <f t="shared" si="18"/>
        <v xml:space="preserve">Low Budget Flats In Kalyan | 1 BHK Flat </v>
      </c>
      <c r="D435" s="4" t="str">
        <f t="shared" ca="1" si="19"/>
        <v>Older</v>
      </c>
      <c r="E435" s="13">
        <v>45380</v>
      </c>
      <c r="F435" s="23">
        <f t="shared" si="20"/>
        <v>45382</v>
      </c>
      <c r="G435" s="5">
        <v>31</v>
      </c>
      <c r="H435" s="5">
        <v>721</v>
      </c>
      <c r="I435" s="6">
        <v>3.4971000000000001</v>
      </c>
      <c r="J435" s="5">
        <v>1</v>
      </c>
      <c r="K435" s="7">
        <v>0.38800000000000001</v>
      </c>
      <c r="L435" s="5">
        <v>3969</v>
      </c>
      <c r="M435" s="6">
        <v>5.74</v>
      </c>
    </row>
    <row r="436" spans="1:13" x14ac:dyDescent="0.35">
      <c r="A436" s="4" t="s">
        <v>767</v>
      </c>
      <c r="B436" s="4" t="s">
        <v>768</v>
      </c>
      <c r="C436" s="4" t="str">
        <f t="shared" si="18"/>
        <v xml:space="preserve">Ready To Move Flats In Ambernath |1 BHK </v>
      </c>
      <c r="D436" s="4" t="str">
        <f t="shared" ca="1" si="19"/>
        <v>Older</v>
      </c>
      <c r="E436" s="13">
        <v>45371</v>
      </c>
      <c r="F436" s="23">
        <f t="shared" si="20"/>
        <v>45382</v>
      </c>
      <c r="G436" s="5">
        <v>40</v>
      </c>
      <c r="H436" s="5">
        <v>698</v>
      </c>
      <c r="I436" s="6">
        <v>2.7378</v>
      </c>
      <c r="J436" s="5">
        <v>1</v>
      </c>
      <c r="K436" s="7">
        <v>0.33100000000000002</v>
      </c>
      <c r="L436" s="5">
        <v>4471</v>
      </c>
      <c r="M436" s="6">
        <v>4.67</v>
      </c>
    </row>
    <row r="437" spans="1:13" x14ac:dyDescent="0.35">
      <c r="A437" s="4" t="s">
        <v>371</v>
      </c>
      <c r="B437" s="4" t="s">
        <v>372</v>
      </c>
      <c r="C437" s="4" t="str">
        <f t="shared" si="18"/>
        <v>Most Luxury Project in Kalyan West | Moh</v>
      </c>
      <c r="D437" s="4" t="str">
        <f t="shared" ca="1" si="19"/>
        <v>Older</v>
      </c>
      <c r="E437" s="13">
        <v>45347</v>
      </c>
      <c r="F437" s="23">
        <f t="shared" si="20"/>
        <v>45351</v>
      </c>
      <c r="G437" s="5">
        <v>25</v>
      </c>
      <c r="H437" s="5">
        <v>1168</v>
      </c>
      <c r="I437" s="6">
        <v>3.6065</v>
      </c>
      <c r="J437" s="5">
        <v>0</v>
      </c>
      <c r="K437" s="7">
        <v>0.52600000000000002</v>
      </c>
      <c r="L437" s="5">
        <v>7609</v>
      </c>
      <c r="M437" s="6">
        <v>4.43</v>
      </c>
    </row>
    <row r="438" spans="1:13" x14ac:dyDescent="0.35">
      <c r="A438" s="4" t="s">
        <v>777</v>
      </c>
      <c r="B438" s="4" t="s">
        <v>778</v>
      </c>
      <c r="C438" s="4" t="str">
        <f t="shared" si="18"/>
        <v>Riverwood Park Codename Thia | 1 &amp; 2 BHK</v>
      </c>
      <c r="D438" s="4" t="str">
        <f t="shared" ca="1" si="19"/>
        <v>Older</v>
      </c>
      <c r="E438" s="13">
        <v>45296</v>
      </c>
      <c r="F438" s="23">
        <f t="shared" si="20"/>
        <v>45322</v>
      </c>
      <c r="G438" s="5">
        <v>53</v>
      </c>
      <c r="H438" s="5">
        <v>685</v>
      </c>
      <c r="I438" s="6">
        <v>4.4269999999999996</v>
      </c>
      <c r="J438" s="5">
        <v>1</v>
      </c>
      <c r="K438" s="7">
        <v>0.43</v>
      </c>
      <c r="L438" s="5">
        <v>5374</v>
      </c>
      <c r="M438" s="6">
        <v>7.31</v>
      </c>
    </row>
    <row r="439" spans="1:13" x14ac:dyDescent="0.35">
      <c r="A439" s="4" t="s">
        <v>694</v>
      </c>
      <c r="B439" s="4" t="s">
        <v>695</v>
      </c>
      <c r="C439" s="4" t="str">
        <f t="shared" si="18"/>
        <v>Arihant Kalyan New Launch Beachfront Pro</v>
      </c>
      <c r="D439" s="4" t="str">
        <f t="shared" ca="1" si="19"/>
        <v>Older</v>
      </c>
      <c r="E439" s="13">
        <v>45291</v>
      </c>
      <c r="F439" s="23">
        <f t="shared" si="20"/>
        <v>45291</v>
      </c>
      <c r="G439" s="5">
        <v>621</v>
      </c>
      <c r="H439" s="5">
        <v>775</v>
      </c>
      <c r="I439" s="6">
        <v>36.1113</v>
      </c>
      <c r="J439" s="5">
        <v>4</v>
      </c>
      <c r="K439" s="7">
        <v>74.995000000000005</v>
      </c>
      <c r="L439" s="5">
        <v>3965</v>
      </c>
      <c r="M439" s="6">
        <v>12.53</v>
      </c>
    </row>
    <row r="440" spans="1:13" x14ac:dyDescent="0.35">
      <c r="A440" s="4" t="s">
        <v>857</v>
      </c>
      <c r="B440" s="4" t="s">
        <v>858</v>
      </c>
      <c r="C440" s="4" t="str">
        <f t="shared" si="18"/>
        <v>Tata Amantra | Ready to Move | Fully Fur</v>
      </c>
      <c r="D440" s="4" t="str">
        <f t="shared" ca="1" si="19"/>
        <v>Older</v>
      </c>
      <c r="E440" s="13">
        <v>45290</v>
      </c>
      <c r="F440" s="23">
        <f t="shared" si="20"/>
        <v>45291</v>
      </c>
      <c r="G440" s="5">
        <v>299</v>
      </c>
      <c r="H440" s="5">
        <v>609</v>
      </c>
      <c r="I440" s="6">
        <v>15.7735</v>
      </c>
      <c r="J440" s="5">
        <v>2</v>
      </c>
      <c r="K440" s="7">
        <v>90.85</v>
      </c>
      <c r="L440" s="5">
        <v>3745</v>
      </c>
      <c r="M440" s="6">
        <v>11.54</v>
      </c>
    </row>
    <row r="441" spans="1:13" x14ac:dyDescent="0.35">
      <c r="A441" s="4" t="s">
        <v>667</v>
      </c>
      <c r="B441" s="4" t="s">
        <v>668</v>
      </c>
      <c r="C441" s="4" t="str">
        <f t="shared" si="18"/>
        <v>1 BHK | 2 BHK | Ready to Move | Ready Po</v>
      </c>
      <c r="D441" s="4" t="str">
        <f t="shared" ca="1" si="19"/>
        <v>Older</v>
      </c>
      <c r="E441" s="13">
        <v>45273</v>
      </c>
      <c r="F441" s="23">
        <f t="shared" si="20"/>
        <v>45291</v>
      </c>
      <c r="G441" s="5">
        <v>524</v>
      </c>
      <c r="H441" s="5">
        <v>795</v>
      </c>
      <c r="I441" s="6">
        <v>26.715599999999998</v>
      </c>
      <c r="J441" s="5">
        <v>1</v>
      </c>
      <c r="K441" s="7">
        <v>1E-3</v>
      </c>
      <c r="L441" s="5">
        <v>6975</v>
      </c>
      <c r="M441" s="6">
        <v>9.58</v>
      </c>
    </row>
    <row r="442" spans="1:13" x14ac:dyDescent="0.35">
      <c r="A442" s="4" t="s">
        <v>193</v>
      </c>
      <c r="B442" s="4" t="s">
        <v>892</v>
      </c>
      <c r="C442" s="4" t="str">
        <f t="shared" si="18"/>
        <v>Hiranadani Kalyan | Hiranandani Woodspri</v>
      </c>
      <c r="D442" s="4" t="str">
        <f t="shared" ca="1" si="19"/>
        <v>Older</v>
      </c>
      <c r="E442" s="13">
        <v>45266</v>
      </c>
      <c r="F442" s="23">
        <f t="shared" si="20"/>
        <v>45291</v>
      </c>
      <c r="G442" s="5">
        <v>50</v>
      </c>
      <c r="H442" s="5">
        <v>1659</v>
      </c>
      <c r="I442" s="6">
        <v>12.341799999999999</v>
      </c>
      <c r="J442" s="5">
        <v>3</v>
      </c>
      <c r="K442" s="7">
        <v>1.113</v>
      </c>
      <c r="L442" s="5">
        <v>10165</v>
      </c>
      <c r="M442" s="6">
        <v>7.39</v>
      </c>
    </row>
    <row r="443" spans="1:13" x14ac:dyDescent="0.35">
      <c r="A443" s="4" t="s">
        <v>793</v>
      </c>
      <c r="B443" s="4" t="s">
        <v>794</v>
      </c>
      <c r="C443" s="4" t="str">
        <f t="shared" si="18"/>
        <v xml:space="preserve">Swaminarayan City Dombivli West | 1/2/3 </v>
      </c>
      <c r="D443" s="4" t="str">
        <f t="shared" ca="1" si="19"/>
        <v>Older</v>
      </c>
      <c r="E443" s="13">
        <v>45265</v>
      </c>
      <c r="F443" s="23">
        <f t="shared" si="20"/>
        <v>45291</v>
      </c>
      <c r="G443" s="5">
        <v>48</v>
      </c>
      <c r="H443" s="5">
        <v>676</v>
      </c>
      <c r="I443" s="6">
        <v>3.5438999999999998</v>
      </c>
      <c r="J443" s="5">
        <v>0</v>
      </c>
      <c r="K443" s="7">
        <v>0.308</v>
      </c>
      <c r="L443" s="5">
        <v>3758</v>
      </c>
      <c r="M443" s="6">
        <v>4.0999999999999996</v>
      </c>
    </row>
    <row r="444" spans="1:13" x14ac:dyDescent="0.35">
      <c r="A444" s="4" t="s">
        <v>795</v>
      </c>
      <c r="B444" s="4" t="s">
        <v>903</v>
      </c>
      <c r="C444" s="4" t="str">
        <f t="shared" si="18"/>
        <v>L M Tower Bhiwandi | Flat For Sale In Bh</v>
      </c>
      <c r="D444" s="4" t="str">
        <f t="shared" ca="1" si="19"/>
        <v>Older</v>
      </c>
      <c r="E444" s="13">
        <v>45263</v>
      </c>
      <c r="F444" s="23">
        <f t="shared" si="20"/>
        <v>45291</v>
      </c>
      <c r="G444" s="5">
        <v>114</v>
      </c>
      <c r="H444" s="5">
        <v>673</v>
      </c>
      <c r="I444" s="6">
        <v>8.7062000000000008</v>
      </c>
      <c r="J444" s="5">
        <v>2</v>
      </c>
      <c r="K444" s="7">
        <v>19.178000000000001</v>
      </c>
      <c r="L444" s="5">
        <v>5405</v>
      </c>
      <c r="M444" s="6">
        <v>11.27</v>
      </c>
    </row>
    <row r="445" spans="1:13" x14ac:dyDescent="0.35">
      <c r="A445" s="4" t="s">
        <v>430</v>
      </c>
      <c r="B445" s="4" t="s">
        <v>431</v>
      </c>
      <c r="C445" s="4" t="str">
        <f t="shared" si="18"/>
        <v>Hiranandani Kalyan 1 BHK Sample Flat Vid</v>
      </c>
      <c r="D445" s="4" t="str">
        <f t="shared" ca="1" si="19"/>
        <v>Older</v>
      </c>
      <c r="E445" s="13">
        <v>45262</v>
      </c>
      <c r="F445" s="23">
        <f t="shared" si="20"/>
        <v>45291</v>
      </c>
      <c r="G445" s="5">
        <v>49</v>
      </c>
      <c r="H445" s="5">
        <v>1060</v>
      </c>
      <c r="I445" s="6">
        <v>6.6501000000000001</v>
      </c>
      <c r="J445" s="5">
        <v>2</v>
      </c>
      <c r="K445" s="7">
        <v>0.69899999999999995</v>
      </c>
      <c r="L445" s="5">
        <v>6808</v>
      </c>
      <c r="M445" s="6">
        <v>7.05</v>
      </c>
    </row>
    <row r="446" spans="1:13" x14ac:dyDescent="0.35">
      <c r="A446" s="4" t="s">
        <v>467</v>
      </c>
      <c r="B446" s="4" t="s">
        <v>896</v>
      </c>
      <c r="C446" s="4" t="str">
        <f t="shared" si="18"/>
        <v>Hiranadani Kalyan 2 BHK Sample Flat Vide</v>
      </c>
      <c r="D446" s="4" t="str">
        <f t="shared" ca="1" si="19"/>
        <v>Older</v>
      </c>
      <c r="E446" s="13">
        <v>45262</v>
      </c>
      <c r="F446" s="23">
        <f t="shared" si="20"/>
        <v>45291</v>
      </c>
      <c r="G446" s="5">
        <v>124</v>
      </c>
      <c r="H446" s="5">
        <v>1007</v>
      </c>
      <c r="I446" s="6">
        <v>17.414000000000001</v>
      </c>
      <c r="J446" s="5">
        <v>2</v>
      </c>
      <c r="K446" s="7">
        <v>218.35499999999999</v>
      </c>
      <c r="L446" s="5">
        <v>7833</v>
      </c>
      <c r="M446" s="6">
        <v>11.6</v>
      </c>
    </row>
    <row r="447" spans="1:13" x14ac:dyDescent="0.35">
      <c r="A447" s="4" t="s">
        <v>33</v>
      </c>
      <c r="B447" s="4" t="s">
        <v>879</v>
      </c>
      <c r="C447" s="4" t="str">
        <f t="shared" si="18"/>
        <v>L M Tower Bhiwandi | 1 BHK | 2 BHK | Fla</v>
      </c>
      <c r="D447" s="4" t="str">
        <f t="shared" ca="1" si="19"/>
        <v>Older</v>
      </c>
      <c r="E447" s="13">
        <v>45261</v>
      </c>
      <c r="F447" s="23">
        <f t="shared" si="20"/>
        <v>45291</v>
      </c>
      <c r="G447" s="5">
        <v>57</v>
      </c>
      <c r="H447" s="5">
        <v>7124</v>
      </c>
      <c r="I447" s="6">
        <v>43.868200000000002</v>
      </c>
      <c r="J447" s="5">
        <v>16</v>
      </c>
      <c r="K447" s="7">
        <v>4.133</v>
      </c>
      <c r="L447" s="5">
        <v>36383</v>
      </c>
      <c r="M447" s="6">
        <v>5.68</v>
      </c>
    </row>
    <row r="448" spans="1:13" x14ac:dyDescent="0.35">
      <c r="A448" s="4" t="s">
        <v>876</v>
      </c>
      <c r="B448" s="4" t="s">
        <v>431</v>
      </c>
      <c r="C448" s="4" t="str">
        <f t="shared" si="18"/>
        <v>Hiranandani Kalyan 1 BHK Sample Flat Vid</v>
      </c>
      <c r="D448" s="4" t="str">
        <f t="shared" ca="1" si="19"/>
        <v>Older</v>
      </c>
      <c r="E448" s="13">
        <v>45261</v>
      </c>
      <c r="F448" s="23">
        <f t="shared" si="20"/>
        <v>45291</v>
      </c>
      <c r="G448" s="5">
        <v>95</v>
      </c>
      <c r="H448" s="5">
        <v>596</v>
      </c>
      <c r="I448" s="6">
        <v>9.1983999999999995</v>
      </c>
      <c r="J448" s="5">
        <v>0</v>
      </c>
      <c r="K448" s="7">
        <v>60.171999999999997</v>
      </c>
      <c r="L448" s="5">
        <v>4584</v>
      </c>
      <c r="M448" s="6">
        <v>11.17</v>
      </c>
    </row>
    <row r="449" spans="1:13" x14ac:dyDescent="0.35">
      <c r="A449" s="4" t="s">
        <v>865</v>
      </c>
      <c r="B449" s="4" t="s">
        <v>866</v>
      </c>
      <c r="C449" s="4" t="str">
        <f t="shared" si="18"/>
        <v>1 BHK Deck Apartment For Sale In Dombivl</v>
      </c>
      <c r="D449" s="4" t="str">
        <f t="shared" ca="1" si="19"/>
        <v>Older</v>
      </c>
      <c r="E449" s="13">
        <v>45259</v>
      </c>
      <c r="F449" s="23">
        <f t="shared" si="20"/>
        <v>45260</v>
      </c>
      <c r="G449" s="5">
        <v>115</v>
      </c>
      <c r="H449" s="5">
        <v>606</v>
      </c>
      <c r="I449" s="6">
        <v>8.7957000000000001</v>
      </c>
      <c r="J449" s="5">
        <v>2</v>
      </c>
      <c r="K449" s="7">
        <v>42.734999999999999</v>
      </c>
      <c r="L449" s="5">
        <v>5047</v>
      </c>
      <c r="M449" s="6">
        <v>9.25</v>
      </c>
    </row>
    <row r="450" spans="1:13" x14ac:dyDescent="0.35">
      <c r="A450" s="4" t="s">
        <v>498</v>
      </c>
      <c r="B450" s="4" t="s">
        <v>499</v>
      </c>
      <c r="C450" s="4" t="str">
        <f t="shared" si="18"/>
        <v>Vikas Ritz Kalyan West | Ritz Vikas Kaly</v>
      </c>
      <c r="D450" s="4" t="str">
        <f t="shared" ca="1" si="19"/>
        <v>Older</v>
      </c>
      <c r="E450" s="13">
        <v>45256</v>
      </c>
      <c r="F450" s="23">
        <f t="shared" si="20"/>
        <v>45260</v>
      </c>
      <c r="G450" s="5">
        <v>55</v>
      </c>
      <c r="H450" s="5">
        <v>971</v>
      </c>
      <c r="I450" s="6">
        <v>7.4443999999999999</v>
      </c>
      <c r="J450" s="5">
        <v>2</v>
      </c>
      <c r="K450" s="7">
        <v>0.70699999999999996</v>
      </c>
      <c r="L450" s="5">
        <v>5924</v>
      </c>
      <c r="M450" s="6">
        <v>7.8</v>
      </c>
    </row>
    <row r="451" spans="1:13" x14ac:dyDescent="0.35">
      <c r="A451" s="4" t="s">
        <v>799</v>
      </c>
      <c r="B451" s="4" t="s">
        <v>800</v>
      </c>
      <c r="C451" s="4" t="str">
        <f t="shared" ref="C451:C500" si="21">LEFT(B451,40)</f>
        <v xml:space="preserve">1,2 &amp; 3 BHK Flat for Sale in Dombivli | </v>
      </c>
      <c r="D451" s="4" t="str">
        <f t="shared" ref="D451:D500" ca="1" si="22">IF(E451&gt;=TODAY()-28,"Last 28 Days",IF(E451&gt;=TODAY()-90,"Last 90 Days",IF(E451&gt;=TODAY()-365,"Last 365 Days","Older")))</f>
        <v>Older</v>
      </c>
      <c r="E451" s="13">
        <v>45254</v>
      </c>
      <c r="F451" s="23">
        <f t="shared" ref="F451:F500" si="23">EOMONTH(E451,0)</f>
        <v>45260</v>
      </c>
      <c r="G451" s="5">
        <v>59</v>
      </c>
      <c r="H451" s="5">
        <v>661</v>
      </c>
      <c r="I451" s="6">
        <v>2.9001000000000001</v>
      </c>
      <c r="J451" s="5">
        <v>0</v>
      </c>
      <c r="K451" s="7">
        <v>0.28100000000000003</v>
      </c>
      <c r="L451" s="5">
        <v>330</v>
      </c>
      <c r="M451" s="6">
        <v>1.21</v>
      </c>
    </row>
    <row r="452" spans="1:13" x14ac:dyDescent="0.35">
      <c r="A452" s="4" t="s">
        <v>720</v>
      </c>
      <c r="B452" s="4" t="s">
        <v>721</v>
      </c>
      <c r="C452" s="4" t="str">
        <f t="shared" si="21"/>
        <v>Godrej Riviera | Godrej Riviera Kalyan S</v>
      </c>
      <c r="D452" s="4" t="str">
        <f t="shared" ca="1" si="22"/>
        <v>Older</v>
      </c>
      <c r="E452" s="13">
        <v>45251</v>
      </c>
      <c r="F452" s="23">
        <f t="shared" si="23"/>
        <v>45260</v>
      </c>
      <c r="G452" s="5">
        <v>448</v>
      </c>
      <c r="H452" s="5">
        <v>750</v>
      </c>
      <c r="I452" s="6">
        <v>15.867000000000001</v>
      </c>
      <c r="J452" s="5">
        <v>0</v>
      </c>
      <c r="K452" s="7">
        <v>105.473</v>
      </c>
      <c r="L452" s="5">
        <v>2153</v>
      </c>
      <c r="M452" s="6">
        <v>20.48</v>
      </c>
    </row>
    <row r="453" spans="1:13" x14ac:dyDescent="0.35">
      <c r="A453" s="4" t="s">
        <v>634</v>
      </c>
      <c r="B453" s="4" t="s">
        <v>635</v>
      </c>
      <c r="C453" s="4" t="str">
        <f t="shared" si="21"/>
        <v>Mangeshi Trinity Kalyan | Mangeshi Trini</v>
      </c>
      <c r="D453" s="4" t="str">
        <f t="shared" ca="1" si="22"/>
        <v>Older</v>
      </c>
      <c r="E453" s="13">
        <v>45248</v>
      </c>
      <c r="F453" s="23">
        <f t="shared" si="23"/>
        <v>45260</v>
      </c>
      <c r="G453" s="5">
        <v>52</v>
      </c>
      <c r="H453" s="5">
        <v>826</v>
      </c>
      <c r="I453" s="6">
        <v>6.8182999999999998</v>
      </c>
      <c r="J453" s="5">
        <v>1</v>
      </c>
      <c r="K453" s="7">
        <v>0.41799999999999998</v>
      </c>
      <c r="L453" s="5">
        <v>4621</v>
      </c>
      <c r="M453" s="6">
        <v>6.58</v>
      </c>
    </row>
    <row r="454" spans="1:13" x14ac:dyDescent="0.35">
      <c r="A454" s="4" t="s">
        <v>615</v>
      </c>
      <c r="B454" s="4" t="s">
        <v>616</v>
      </c>
      <c r="C454" s="4" t="str">
        <f t="shared" si="21"/>
        <v>Hiranandani Kalyan | Hiranandani Woodspr</v>
      </c>
      <c r="D454" s="4" t="str">
        <f t="shared" ca="1" si="22"/>
        <v>Older</v>
      </c>
      <c r="E454" s="13">
        <v>45240</v>
      </c>
      <c r="F454" s="23">
        <f t="shared" si="23"/>
        <v>45260</v>
      </c>
      <c r="G454" s="5">
        <v>24</v>
      </c>
      <c r="H454" s="5">
        <v>838</v>
      </c>
      <c r="I454" s="6">
        <v>2.5688</v>
      </c>
      <c r="J454" s="5">
        <v>0</v>
      </c>
      <c r="K454" s="7">
        <v>0.434</v>
      </c>
      <c r="L454" s="5">
        <v>5195</v>
      </c>
      <c r="M454" s="6">
        <v>5.89</v>
      </c>
    </row>
    <row r="455" spans="1:13" x14ac:dyDescent="0.35">
      <c r="A455" s="4" t="s">
        <v>789</v>
      </c>
      <c r="B455" s="4" t="s">
        <v>790</v>
      </c>
      <c r="C455" s="4" t="str">
        <f t="shared" si="21"/>
        <v>Vikas Ritz Kalyan West | Ritz Vikas Kaly</v>
      </c>
      <c r="D455" s="4" t="str">
        <f t="shared" ca="1" si="22"/>
        <v>Older</v>
      </c>
      <c r="E455" s="13">
        <v>45226</v>
      </c>
      <c r="F455" s="23">
        <f t="shared" si="23"/>
        <v>45230</v>
      </c>
      <c r="G455" s="5">
        <v>31</v>
      </c>
      <c r="H455" s="5">
        <v>677</v>
      </c>
      <c r="I455" s="6">
        <v>2.8473000000000002</v>
      </c>
      <c r="J455" s="5">
        <v>0</v>
      </c>
      <c r="K455" s="7">
        <v>0.56000000000000005</v>
      </c>
      <c r="L455" s="5">
        <v>3947</v>
      </c>
      <c r="M455" s="6">
        <v>7.35</v>
      </c>
    </row>
    <row r="456" spans="1:13" x14ac:dyDescent="0.35">
      <c r="A456" s="4" t="s">
        <v>61</v>
      </c>
      <c r="B456" s="4" t="s">
        <v>62</v>
      </c>
      <c r="C456" s="4" t="str">
        <f t="shared" si="21"/>
        <v>Saket World Kalyan East | 1 BHK, 3 BHK &amp;</v>
      </c>
      <c r="D456" s="4" t="str">
        <f t="shared" ca="1" si="22"/>
        <v>Older</v>
      </c>
      <c r="E456" s="13">
        <v>45220</v>
      </c>
      <c r="F456" s="23">
        <f t="shared" si="23"/>
        <v>45230</v>
      </c>
      <c r="G456" s="5">
        <v>41</v>
      </c>
      <c r="H456" s="5">
        <v>3678</v>
      </c>
      <c r="I456" s="6">
        <v>20.410900000000002</v>
      </c>
      <c r="J456" s="5">
        <v>8</v>
      </c>
      <c r="K456" s="7">
        <v>1.9710000000000001</v>
      </c>
      <c r="L456" s="5">
        <v>25156</v>
      </c>
      <c r="M456" s="6">
        <v>5.9</v>
      </c>
    </row>
    <row r="457" spans="1:13" x14ac:dyDescent="0.35">
      <c r="A457" s="4" t="s">
        <v>87</v>
      </c>
      <c r="B457" s="4" t="s">
        <v>88</v>
      </c>
      <c r="C457" s="4" t="str">
        <f t="shared" si="21"/>
        <v>Sai World Dreams Dombivli 1/2/3 BHK Tour</v>
      </c>
      <c r="D457" s="4" t="str">
        <f t="shared" ca="1" si="22"/>
        <v>Older</v>
      </c>
      <c r="E457" s="13">
        <v>45212</v>
      </c>
      <c r="F457" s="23">
        <f t="shared" si="23"/>
        <v>45230</v>
      </c>
      <c r="G457" s="5">
        <v>59</v>
      </c>
      <c r="H457" s="5">
        <v>2436</v>
      </c>
      <c r="I457" s="6">
        <v>15.6229</v>
      </c>
      <c r="J457" s="5">
        <v>4</v>
      </c>
      <c r="K457" s="7">
        <v>1.5720000000000001</v>
      </c>
      <c r="L457" s="5">
        <v>15680</v>
      </c>
      <c r="M457" s="6">
        <v>5.89</v>
      </c>
    </row>
    <row r="458" spans="1:13" x14ac:dyDescent="0.35">
      <c r="A458" s="4" t="s">
        <v>68</v>
      </c>
      <c r="B458" s="4" t="s">
        <v>69</v>
      </c>
      <c r="C458" s="4" t="str">
        <f t="shared" si="21"/>
        <v>Venus Skky City Dombivli East | 1 &amp; 2 BH</v>
      </c>
      <c r="D458" s="4" t="str">
        <f t="shared" ca="1" si="22"/>
        <v>Older</v>
      </c>
      <c r="E458" s="13">
        <v>45211</v>
      </c>
      <c r="F458" s="23">
        <f t="shared" si="23"/>
        <v>45230</v>
      </c>
      <c r="G458" s="5">
        <v>60</v>
      </c>
      <c r="H458" s="5">
        <v>3269</v>
      </c>
      <c r="I458" s="6">
        <v>24.161999999999999</v>
      </c>
      <c r="J458" s="5">
        <v>8</v>
      </c>
      <c r="K458" s="7">
        <v>1.7869999999999999</v>
      </c>
      <c r="L458" s="5">
        <v>18545</v>
      </c>
      <c r="M458" s="6">
        <v>8.68</v>
      </c>
    </row>
    <row r="459" spans="1:13" x14ac:dyDescent="0.35">
      <c r="A459" s="4" t="s">
        <v>734</v>
      </c>
      <c r="B459" s="4" t="s">
        <v>735</v>
      </c>
      <c r="C459" s="4" t="str">
        <f t="shared" si="21"/>
        <v>Nearing Possession 1 BHK &amp; 2 BHK Flats F</v>
      </c>
      <c r="D459" s="4" t="str">
        <f t="shared" ca="1" si="22"/>
        <v>Older</v>
      </c>
      <c r="E459" s="13">
        <v>45210</v>
      </c>
      <c r="F459" s="23">
        <f t="shared" si="23"/>
        <v>45230</v>
      </c>
      <c r="G459" s="5">
        <v>52</v>
      </c>
      <c r="H459" s="5">
        <v>740</v>
      </c>
      <c r="I459" s="6">
        <v>4.1646000000000001</v>
      </c>
      <c r="J459" s="5">
        <v>1</v>
      </c>
      <c r="K459" s="7">
        <v>0.35099999999999998</v>
      </c>
      <c r="L459" s="5">
        <v>4249</v>
      </c>
      <c r="M459" s="6">
        <v>7.51</v>
      </c>
    </row>
    <row r="460" spans="1:13" x14ac:dyDescent="0.35">
      <c r="A460" s="4" t="s">
        <v>577</v>
      </c>
      <c r="B460" s="4" t="s">
        <v>993</v>
      </c>
      <c r="C460" s="4" t="str">
        <f t="shared" si="21"/>
        <v>Kalyan City Mumbai | Everything About Ka</v>
      </c>
      <c r="D460" s="4" t="str">
        <f t="shared" ca="1" si="22"/>
        <v>Older</v>
      </c>
      <c r="E460" s="13">
        <v>45206</v>
      </c>
      <c r="F460" s="23">
        <f t="shared" si="23"/>
        <v>45230</v>
      </c>
      <c r="G460" s="5">
        <v>144</v>
      </c>
      <c r="H460" s="5">
        <v>880</v>
      </c>
      <c r="I460" s="6">
        <v>10.9918</v>
      </c>
      <c r="J460" s="5">
        <v>4</v>
      </c>
      <c r="K460" s="7"/>
      <c r="L460" s="5">
        <v>12877</v>
      </c>
      <c r="M460" s="6">
        <v>2.95</v>
      </c>
    </row>
    <row r="461" spans="1:13" x14ac:dyDescent="0.35">
      <c r="A461" s="4" t="s">
        <v>384</v>
      </c>
      <c r="B461" s="4" t="s">
        <v>976</v>
      </c>
      <c r="C461" s="4" t="str">
        <f t="shared" si="21"/>
        <v>1 BHK Urgent!!!| Carpet 484 Sq. Ft | Cal</v>
      </c>
      <c r="D461" s="4" t="str">
        <f t="shared" ca="1" si="22"/>
        <v>Older</v>
      </c>
      <c r="E461" s="13">
        <v>45189</v>
      </c>
      <c r="F461" s="23">
        <f t="shared" si="23"/>
        <v>45199</v>
      </c>
      <c r="G461" s="5">
        <v>16</v>
      </c>
      <c r="H461" s="5">
        <v>1151</v>
      </c>
      <c r="I461" s="6">
        <v>3.6699000000000002</v>
      </c>
      <c r="J461" s="5">
        <v>2</v>
      </c>
      <c r="K461" s="7">
        <v>0.42</v>
      </c>
      <c r="L461" s="5">
        <v>4796</v>
      </c>
      <c r="M461" s="6">
        <v>8.61</v>
      </c>
    </row>
    <row r="462" spans="1:13" x14ac:dyDescent="0.35">
      <c r="A462" s="4" t="s">
        <v>60</v>
      </c>
      <c r="B462" s="4" t="s">
        <v>883</v>
      </c>
      <c r="C462" s="4" t="str">
        <f t="shared" si="21"/>
        <v>1 Bhk Flat For Sale In Dombivli Near Dma</v>
      </c>
      <c r="D462" s="4" t="str">
        <f t="shared" ca="1" si="22"/>
        <v>Older</v>
      </c>
      <c r="E462" s="13">
        <v>45185</v>
      </c>
      <c r="F462" s="23">
        <f t="shared" si="23"/>
        <v>45199</v>
      </c>
      <c r="G462" s="5">
        <v>16</v>
      </c>
      <c r="H462" s="5">
        <v>3681</v>
      </c>
      <c r="I462" s="6">
        <v>13.1234</v>
      </c>
      <c r="J462" s="5">
        <v>4</v>
      </c>
      <c r="K462" s="7">
        <v>1.4119999999999999</v>
      </c>
      <c r="L462" s="5">
        <v>23499</v>
      </c>
      <c r="M462" s="6">
        <v>4.0599999999999996</v>
      </c>
    </row>
    <row r="463" spans="1:13" x14ac:dyDescent="0.35">
      <c r="A463" s="4" t="s">
        <v>132</v>
      </c>
      <c r="B463" s="4" t="s">
        <v>891</v>
      </c>
      <c r="C463" s="4" t="str">
        <f t="shared" si="21"/>
        <v>Swaminarayan City Dombivli West | 1, 2 &amp;</v>
      </c>
      <c r="D463" s="4" t="str">
        <f t="shared" ca="1" si="22"/>
        <v>Older</v>
      </c>
      <c r="E463" s="13">
        <v>45176</v>
      </c>
      <c r="F463" s="23">
        <f t="shared" si="23"/>
        <v>45199</v>
      </c>
      <c r="G463" s="5">
        <v>22</v>
      </c>
      <c r="H463" s="5">
        <v>2030</v>
      </c>
      <c r="I463" s="6">
        <v>6.1380999999999997</v>
      </c>
      <c r="J463" s="5">
        <v>0</v>
      </c>
      <c r="K463" s="7">
        <v>0.96399999999999997</v>
      </c>
      <c r="L463" s="5">
        <v>12766</v>
      </c>
      <c r="M463" s="6">
        <v>5.1100000000000003</v>
      </c>
    </row>
    <row r="464" spans="1:13" x14ac:dyDescent="0.35">
      <c r="A464" s="4" t="s">
        <v>581</v>
      </c>
      <c r="B464" s="4" t="s">
        <v>582</v>
      </c>
      <c r="C464" s="4" t="str">
        <f t="shared" si="21"/>
        <v>Seasons Sahara Kalyan East | 2 BHK Sampl</v>
      </c>
      <c r="D464" s="4" t="str">
        <f t="shared" ca="1" si="22"/>
        <v>Older</v>
      </c>
      <c r="E464" s="13">
        <v>45166</v>
      </c>
      <c r="F464" s="23">
        <f t="shared" si="23"/>
        <v>45169</v>
      </c>
      <c r="G464" s="5">
        <v>606</v>
      </c>
      <c r="H464" s="5">
        <v>868</v>
      </c>
      <c r="I464" s="6">
        <v>41.5578</v>
      </c>
      <c r="J464" s="5">
        <v>6</v>
      </c>
      <c r="K464" s="7">
        <v>46.848999999999997</v>
      </c>
      <c r="L464" s="5">
        <v>7869</v>
      </c>
      <c r="M464" s="6">
        <v>8.16</v>
      </c>
    </row>
    <row r="465" spans="1:13" x14ac:dyDescent="0.35">
      <c r="A465" s="4" t="s">
        <v>16</v>
      </c>
      <c r="B465" s="4" t="s">
        <v>17</v>
      </c>
      <c r="C465" s="4" t="str">
        <f t="shared" si="21"/>
        <v>2 Bhk Flat In Kalyan For Sale | 2 Bhk Fl</v>
      </c>
      <c r="D465" s="4" t="str">
        <f t="shared" ca="1" si="22"/>
        <v>Older</v>
      </c>
      <c r="E465" s="13">
        <v>45165</v>
      </c>
      <c r="F465" s="23">
        <f t="shared" si="23"/>
        <v>45169</v>
      </c>
      <c r="G465" s="5">
        <v>10</v>
      </c>
      <c r="H465" s="5">
        <v>43867</v>
      </c>
      <c r="I465" s="6">
        <v>79.601100000000002</v>
      </c>
      <c r="J465" s="5">
        <v>42</v>
      </c>
      <c r="K465" s="7">
        <v>14.798</v>
      </c>
      <c r="L465" s="5">
        <v>250524</v>
      </c>
      <c r="M465" s="6">
        <v>4.4000000000000004</v>
      </c>
    </row>
    <row r="466" spans="1:13" x14ac:dyDescent="0.35">
      <c r="A466" s="4" t="s">
        <v>488</v>
      </c>
      <c r="B466" s="4" t="s">
        <v>489</v>
      </c>
      <c r="C466" s="4" t="str">
        <f t="shared" si="21"/>
        <v>Ready To Move 1 BHK Flat For Sale In Kal</v>
      </c>
      <c r="D466" s="4" t="str">
        <f t="shared" ca="1" si="22"/>
        <v>Older</v>
      </c>
      <c r="E466" s="13">
        <v>45163</v>
      </c>
      <c r="F466" s="23">
        <f t="shared" si="23"/>
        <v>45169</v>
      </c>
      <c r="G466" s="5">
        <v>37</v>
      </c>
      <c r="H466" s="5">
        <v>981</v>
      </c>
      <c r="I466" s="6">
        <v>5.6581000000000001</v>
      </c>
      <c r="J466" s="5">
        <v>4</v>
      </c>
      <c r="K466" s="7">
        <v>0.52100000000000002</v>
      </c>
      <c r="L466" s="5">
        <v>5954</v>
      </c>
      <c r="M466" s="6">
        <v>5.56</v>
      </c>
    </row>
    <row r="467" spans="1:13" x14ac:dyDescent="0.35">
      <c r="A467" s="4" t="s">
        <v>112</v>
      </c>
      <c r="B467" s="4" t="s">
        <v>890</v>
      </c>
      <c r="C467" s="4" t="str">
        <f t="shared" si="21"/>
        <v>1 Bhk Flat For Sale In Dombivli | Flat F</v>
      </c>
      <c r="D467" s="4" t="str">
        <f t="shared" ca="1" si="22"/>
        <v>Older</v>
      </c>
      <c r="E467" s="13">
        <v>45155</v>
      </c>
      <c r="F467" s="23">
        <f t="shared" si="23"/>
        <v>45169</v>
      </c>
      <c r="G467" s="5">
        <v>19</v>
      </c>
      <c r="H467" s="5">
        <v>2197</v>
      </c>
      <c r="I467" s="6">
        <v>6.7481</v>
      </c>
      <c r="J467" s="5">
        <v>4</v>
      </c>
      <c r="K467" s="7">
        <v>1.1599999999999999</v>
      </c>
      <c r="L467" s="5">
        <v>18142</v>
      </c>
      <c r="M467" s="6">
        <v>3.27</v>
      </c>
    </row>
    <row r="468" spans="1:13" x14ac:dyDescent="0.35">
      <c r="A468" s="4" t="s">
        <v>32</v>
      </c>
      <c r="B468" s="4" t="s">
        <v>941</v>
      </c>
      <c r="C468" s="4" t="str">
        <f t="shared" si="21"/>
        <v>1 BHK  Flat For Sale In Dombivli Near D</v>
      </c>
      <c r="D468" s="4" t="str">
        <f t="shared" ca="1" si="22"/>
        <v>Older</v>
      </c>
      <c r="E468" s="13">
        <v>45151</v>
      </c>
      <c r="F468" s="23">
        <f t="shared" si="23"/>
        <v>45169</v>
      </c>
      <c r="G468" s="5">
        <v>9</v>
      </c>
      <c r="H468" s="5">
        <v>8136</v>
      </c>
      <c r="I468" s="6">
        <v>13.889099999999999</v>
      </c>
      <c r="J468" s="5">
        <v>6</v>
      </c>
      <c r="K468" s="7">
        <v>3.0779999999999998</v>
      </c>
      <c r="L468" s="5">
        <v>40076</v>
      </c>
      <c r="M468" s="6">
        <v>4.4000000000000004</v>
      </c>
    </row>
    <row r="469" spans="1:13" x14ac:dyDescent="0.35">
      <c r="A469" s="4" t="s">
        <v>350</v>
      </c>
      <c r="B469" s="4" t="s">
        <v>351</v>
      </c>
      <c r="C469" s="4" t="str">
        <f t="shared" si="21"/>
        <v>2 BHK Flat In Kalyan West | 2 BHK Flat F</v>
      </c>
      <c r="D469" s="4" t="str">
        <f t="shared" ca="1" si="22"/>
        <v>Older</v>
      </c>
      <c r="E469" s="13">
        <v>45150</v>
      </c>
      <c r="F469" s="23">
        <f t="shared" si="23"/>
        <v>45169</v>
      </c>
      <c r="G469" s="5">
        <v>8</v>
      </c>
      <c r="H469" s="5">
        <v>1211</v>
      </c>
      <c r="I469" s="6">
        <v>2.1244000000000001</v>
      </c>
      <c r="J469" s="5">
        <v>0</v>
      </c>
      <c r="K469" s="7">
        <v>0.35099999999999998</v>
      </c>
      <c r="L469" s="5">
        <v>8258</v>
      </c>
      <c r="M469" s="6">
        <v>2.2999999999999998</v>
      </c>
    </row>
    <row r="470" spans="1:13" x14ac:dyDescent="0.35">
      <c r="A470" s="4" t="s">
        <v>65</v>
      </c>
      <c r="B470" s="4" t="s">
        <v>884</v>
      </c>
      <c r="C470" s="4" t="str">
        <f t="shared" si="21"/>
        <v xml:space="preserve">Luxurious 3 Bhk Flat For Sale In Kalyan </v>
      </c>
      <c r="D470" s="4" t="str">
        <f t="shared" ca="1" si="22"/>
        <v>Older</v>
      </c>
      <c r="E470" s="13">
        <v>45149</v>
      </c>
      <c r="F470" s="23">
        <f t="shared" si="23"/>
        <v>45169</v>
      </c>
      <c r="G470" s="5">
        <v>16</v>
      </c>
      <c r="H470" s="5">
        <v>3514</v>
      </c>
      <c r="I470" s="6">
        <v>9.0896000000000008</v>
      </c>
      <c r="J470" s="5">
        <v>3</v>
      </c>
      <c r="K470" s="7">
        <v>1.653</v>
      </c>
      <c r="L470" s="5">
        <v>24432</v>
      </c>
      <c r="M470" s="6">
        <v>4.82</v>
      </c>
    </row>
    <row r="471" spans="1:13" x14ac:dyDescent="0.35">
      <c r="A471" s="4" t="s">
        <v>321</v>
      </c>
      <c r="B471" s="4" t="s">
        <v>322</v>
      </c>
      <c r="C471" s="4" t="str">
        <f t="shared" si="21"/>
        <v>Kalyan Vihar Kalyan West | 1 Bhk Flat Fo</v>
      </c>
      <c r="D471" s="4" t="str">
        <f t="shared" ca="1" si="22"/>
        <v>Older</v>
      </c>
      <c r="E471" s="13">
        <v>45146</v>
      </c>
      <c r="F471" s="23">
        <f t="shared" si="23"/>
        <v>45169</v>
      </c>
      <c r="G471" s="5">
        <v>12</v>
      </c>
      <c r="H471" s="5">
        <v>1265</v>
      </c>
      <c r="I471" s="6">
        <v>2.4719000000000002</v>
      </c>
      <c r="J471" s="5">
        <v>0</v>
      </c>
      <c r="K471" s="7">
        <v>0.45300000000000001</v>
      </c>
      <c r="L471" s="5">
        <v>9778</v>
      </c>
      <c r="M471" s="6">
        <v>3.42</v>
      </c>
    </row>
    <row r="472" spans="1:13" x14ac:dyDescent="0.35">
      <c r="A472" s="4" t="s">
        <v>560</v>
      </c>
      <c r="B472" s="4" t="s">
        <v>561</v>
      </c>
      <c r="C472" s="4" t="str">
        <f t="shared" si="21"/>
        <v>Arihant Aaradhya Kalyan | 1 Bhk Flats Fo</v>
      </c>
      <c r="D472" s="4" t="str">
        <f t="shared" ca="1" si="22"/>
        <v>Older</v>
      </c>
      <c r="E472" s="13">
        <v>45143</v>
      </c>
      <c r="F472" s="23">
        <f t="shared" si="23"/>
        <v>45169</v>
      </c>
      <c r="G472" s="5">
        <v>11</v>
      </c>
      <c r="H472" s="5">
        <v>900</v>
      </c>
      <c r="I472" s="6">
        <v>1.7043999999999999</v>
      </c>
      <c r="J472" s="5">
        <v>1</v>
      </c>
      <c r="K472" s="7">
        <v>0.35</v>
      </c>
      <c r="L472" s="5">
        <v>6180</v>
      </c>
      <c r="M472" s="6">
        <v>4.29</v>
      </c>
    </row>
    <row r="473" spans="1:13" x14ac:dyDescent="0.35">
      <c r="A473" s="4" t="s">
        <v>738</v>
      </c>
      <c r="B473" s="4" t="s">
        <v>996</v>
      </c>
      <c r="C473" s="4" t="str">
        <f t="shared" si="21"/>
        <v>1 BHK | Flower Valley | New Construction</v>
      </c>
      <c r="D473" s="4" t="str">
        <f t="shared" ca="1" si="22"/>
        <v>Older</v>
      </c>
      <c r="E473" s="13">
        <v>45116</v>
      </c>
      <c r="F473" s="23">
        <f t="shared" si="23"/>
        <v>45138</v>
      </c>
      <c r="G473" s="5">
        <v>51</v>
      </c>
      <c r="H473" s="5">
        <v>734</v>
      </c>
      <c r="I473" s="6">
        <v>2.5167999999999999</v>
      </c>
      <c r="J473" s="5">
        <v>2</v>
      </c>
      <c r="K473" s="7">
        <v>0.218</v>
      </c>
      <c r="L473" s="5">
        <v>691</v>
      </c>
      <c r="M473" s="6">
        <v>4.49</v>
      </c>
    </row>
    <row r="474" spans="1:13" x14ac:dyDescent="0.35">
      <c r="A474" s="4" t="s">
        <v>21</v>
      </c>
      <c r="B474" s="4" t="s">
        <v>948</v>
      </c>
      <c r="C474" s="4" t="str">
        <f t="shared" si="21"/>
        <v>Luxurious 2 BHK Flat For Sale In Kalyan</v>
      </c>
      <c r="D474" s="4" t="str">
        <f t="shared" ca="1" si="22"/>
        <v>Older</v>
      </c>
      <c r="E474" s="13">
        <v>45113</v>
      </c>
      <c r="F474" s="23">
        <f t="shared" si="23"/>
        <v>45138</v>
      </c>
      <c r="G474" s="5">
        <v>34</v>
      </c>
      <c r="H474" s="5">
        <v>13039</v>
      </c>
      <c r="I474" s="6">
        <v>55.5687</v>
      </c>
      <c r="J474" s="5">
        <v>21</v>
      </c>
      <c r="K474" s="7">
        <v>6.5910000000000002</v>
      </c>
      <c r="L474" s="5">
        <v>79185</v>
      </c>
      <c r="M474" s="6">
        <v>6.57</v>
      </c>
    </row>
    <row r="475" spans="1:13" x14ac:dyDescent="0.35">
      <c r="A475" s="4" t="s">
        <v>417</v>
      </c>
      <c r="B475" s="4" t="s">
        <v>990</v>
      </c>
      <c r="C475" s="4" t="str">
        <f t="shared" si="21"/>
        <v>Kohinoor Eden | Cheap 1 BHK Flat in Kaly</v>
      </c>
      <c r="D475" s="4" t="str">
        <f t="shared" ca="1" si="22"/>
        <v>Older</v>
      </c>
      <c r="E475" s="13">
        <v>45102</v>
      </c>
      <c r="F475" s="23">
        <f t="shared" si="23"/>
        <v>45107</v>
      </c>
      <c r="G475" s="5">
        <v>99</v>
      </c>
      <c r="H475" s="5">
        <v>1088</v>
      </c>
      <c r="I475" s="6">
        <v>13.8508</v>
      </c>
      <c r="J475" s="5">
        <v>2</v>
      </c>
      <c r="K475" s="7">
        <v>96.513000000000005</v>
      </c>
      <c r="L475" s="5">
        <v>10258</v>
      </c>
      <c r="M475" s="6">
        <v>10.18</v>
      </c>
    </row>
    <row r="476" spans="1:13" x14ac:dyDescent="0.35">
      <c r="A476" s="4" t="s">
        <v>290</v>
      </c>
      <c r="B476" s="4" t="s">
        <v>971</v>
      </c>
      <c r="C476" s="4" t="str">
        <f t="shared" si="21"/>
        <v>Swaminarayan City | 7021988393</v>
      </c>
      <c r="D476" s="4" t="str">
        <f t="shared" ca="1" si="22"/>
        <v>Older</v>
      </c>
      <c r="E476" s="13">
        <v>45098</v>
      </c>
      <c r="F476" s="23">
        <f t="shared" si="23"/>
        <v>45107</v>
      </c>
      <c r="G476" s="5">
        <v>315</v>
      </c>
      <c r="H476" s="5">
        <v>1323</v>
      </c>
      <c r="I476" s="6">
        <v>40.184800000000003</v>
      </c>
      <c r="J476" s="5">
        <v>5</v>
      </c>
      <c r="K476" s="7">
        <v>207.864</v>
      </c>
      <c r="L476" s="5">
        <v>8434</v>
      </c>
      <c r="M476" s="6">
        <v>13.77</v>
      </c>
    </row>
    <row r="477" spans="1:13" x14ac:dyDescent="0.35">
      <c r="A477" s="4" t="s">
        <v>171</v>
      </c>
      <c r="B477" s="4" t="s">
        <v>966</v>
      </c>
      <c r="C477" s="4" t="str">
        <f t="shared" si="21"/>
        <v>1 BHK Flats Rera Registered</v>
      </c>
      <c r="D477" s="4" t="str">
        <f t="shared" ca="1" si="22"/>
        <v>Older</v>
      </c>
      <c r="E477" s="13">
        <v>45022</v>
      </c>
      <c r="F477" s="23">
        <f t="shared" si="23"/>
        <v>45046</v>
      </c>
      <c r="G477" s="5">
        <v>95</v>
      </c>
      <c r="H477" s="5">
        <v>1770</v>
      </c>
      <c r="I477" s="6">
        <v>21.949000000000002</v>
      </c>
      <c r="J477" s="5">
        <v>3</v>
      </c>
      <c r="K477" s="7">
        <v>89.533000000000001</v>
      </c>
      <c r="L477" s="5">
        <v>14513</v>
      </c>
      <c r="M477" s="6">
        <v>11.35</v>
      </c>
    </row>
    <row r="478" spans="1:13" x14ac:dyDescent="0.35">
      <c r="A478" s="4" t="s">
        <v>796</v>
      </c>
      <c r="B478" s="4" t="s">
        <v>797</v>
      </c>
      <c r="C478" s="4" t="str">
        <f t="shared" si="21"/>
        <v>Metro Paramount | 2 BHK Flat Home Tour |</v>
      </c>
      <c r="D478" s="4" t="str">
        <f t="shared" ca="1" si="22"/>
        <v>Older</v>
      </c>
      <c r="E478" s="13">
        <v>45021</v>
      </c>
      <c r="F478" s="23">
        <f t="shared" si="23"/>
        <v>45046</v>
      </c>
      <c r="G478" s="5">
        <v>57</v>
      </c>
      <c r="H478" s="5">
        <v>667</v>
      </c>
      <c r="I478" s="6">
        <v>3.1985999999999999</v>
      </c>
      <c r="J478" s="5">
        <v>1</v>
      </c>
      <c r="K478" s="7">
        <v>0.252</v>
      </c>
      <c r="L478" s="5">
        <v>3661</v>
      </c>
      <c r="M478" s="6">
        <v>5.9</v>
      </c>
    </row>
    <row r="479" spans="1:13" x14ac:dyDescent="0.35">
      <c r="A479" s="4" t="s">
        <v>82</v>
      </c>
      <c r="B479" s="4" t="s">
        <v>83</v>
      </c>
      <c r="C479" s="4" t="str">
        <f t="shared" si="21"/>
        <v xml:space="preserve">Low Cost Flat For Sale In Kalyan West | </v>
      </c>
      <c r="D479" s="4" t="str">
        <f t="shared" ca="1" si="22"/>
        <v>Older</v>
      </c>
      <c r="E479" s="13">
        <v>45020</v>
      </c>
      <c r="F479" s="23">
        <f t="shared" si="23"/>
        <v>45046</v>
      </c>
      <c r="G479" s="5">
        <v>60</v>
      </c>
      <c r="H479" s="5">
        <v>2620</v>
      </c>
      <c r="I479" s="6">
        <v>26.933800000000002</v>
      </c>
      <c r="J479" s="5">
        <v>12</v>
      </c>
      <c r="K479" s="7">
        <v>160.386</v>
      </c>
      <c r="L479" s="5">
        <v>35707</v>
      </c>
      <c r="M479" s="6">
        <v>6.89</v>
      </c>
    </row>
    <row r="480" spans="1:13" x14ac:dyDescent="0.35">
      <c r="A480" s="4" t="s">
        <v>818</v>
      </c>
      <c r="B480" s="4" t="s">
        <v>819</v>
      </c>
      <c r="C480" s="4" t="str">
        <f t="shared" si="21"/>
        <v>Empire Residency Kalyan | Underconstruct</v>
      </c>
      <c r="D480" s="4" t="str">
        <f t="shared" ca="1" si="22"/>
        <v>Older</v>
      </c>
      <c r="E480" s="13">
        <v>45018</v>
      </c>
      <c r="F480" s="23">
        <f t="shared" si="23"/>
        <v>45046</v>
      </c>
      <c r="G480" s="5">
        <v>31</v>
      </c>
      <c r="H480" s="5">
        <v>639</v>
      </c>
      <c r="I480" s="6">
        <v>2.4318</v>
      </c>
      <c r="J480" s="5">
        <v>1</v>
      </c>
      <c r="K480" s="7">
        <v>0.27700000000000002</v>
      </c>
      <c r="L480" s="5">
        <v>6704</v>
      </c>
      <c r="M480" s="6">
        <v>3.09</v>
      </c>
    </row>
    <row r="481" spans="1:13" x14ac:dyDescent="0.35">
      <c r="A481" s="4" t="s">
        <v>377</v>
      </c>
      <c r="B481" s="4" t="s">
        <v>1001</v>
      </c>
      <c r="C481" s="4" t="str">
        <f t="shared" si="21"/>
        <v>1 Bhk Flat In Kalyan East | Flat In Kal</v>
      </c>
      <c r="D481" s="4" t="str">
        <f t="shared" ca="1" si="22"/>
        <v>Older</v>
      </c>
      <c r="E481" s="13">
        <v>45013</v>
      </c>
      <c r="F481" s="23">
        <f t="shared" si="23"/>
        <v>45016</v>
      </c>
      <c r="G481" s="5">
        <v>31</v>
      </c>
      <c r="H481" s="5">
        <v>1165</v>
      </c>
      <c r="I481" s="6">
        <v>5.0568999999999997</v>
      </c>
      <c r="J481" s="5">
        <v>3</v>
      </c>
      <c r="K481" s="7">
        <v>0.55100000000000005</v>
      </c>
      <c r="L481" s="5">
        <v>6840</v>
      </c>
      <c r="M481" s="6">
        <v>5.45</v>
      </c>
    </row>
    <row r="482" spans="1:13" x14ac:dyDescent="0.35">
      <c r="A482" s="4" t="s">
        <v>571</v>
      </c>
      <c r="B482" s="4" t="s">
        <v>572</v>
      </c>
      <c r="C482" s="4" t="str">
        <f t="shared" si="21"/>
        <v>Office Space for Sale in Vikhroli Mumbai</v>
      </c>
      <c r="D482" s="4" t="str">
        <f t="shared" ca="1" si="22"/>
        <v>Older</v>
      </c>
      <c r="E482" s="13">
        <v>45010</v>
      </c>
      <c r="F482" s="23">
        <f t="shared" si="23"/>
        <v>45016</v>
      </c>
      <c r="G482" s="5">
        <v>18</v>
      </c>
      <c r="H482" s="5">
        <v>888</v>
      </c>
      <c r="I482" s="6">
        <v>1.7721</v>
      </c>
      <c r="J482" s="5">
        <v>0</v>
      </c>
      <c r="K482" s="7">
        <v>0.64</v>
      </c>
      <c r="L482" s="5">
        <v>8150</v>
      </c>
      <c r="M482" s="6">
        <v>2.66</v>
      </c>
    </row>
    <row r="483" spans="1:13" x14ac:dyDescent="0.35">
      <c r="A483" s="4" t="s">
        <v>86</v>
      </c>
      <c r="B483" s="4" t="s">
        <v>888</v>
      </c>
      <c r="C483" s="4" t="str">
        <f t="shared" si="21"/>
        <v>Birla Vanya Kalyan | Flat for Sale in Ka</v>
      </c>
      <c r="D483" s="4" t="str">
        <f t="shared" ca="1" si="22"/>
        <v>Older</v>
      </c>
      <c r="E483" s="13">
        <v>45001</v>
      </c>
      <c r="F483" s="23">
        <f t="shared" si="23"/>
        <v>45016</v>
      </c>
      <c r="G483" s="5">
        <v>54</v>
      </c>
      <c r="H483" s="5">
        <v>2532</v>
      </c>
      <c r="I483" s="6">
        <v>15.0091</v>
      </c>
      <c r="J483" s="5">
        <v>1</v>
      </c>
      <c r="K483" s="7">
        <v>1.468</v>
      </c>
      <c r="L483" s="5">
        <v>13295</v>
      </c>
      <c r="M483" s="6">
        <v>9.85</v>
      </c>
    </row>
    <row r="484" spans="1:13" x14ac:dyDescent="0.35">
      <c r="A484" s="4" t="s">
        <v>124</v>
      </c>
      <c r="B484" s="4" t="s">
        <v>125</v>
      </c>
      <c r="C484" s="4" t="str">
        <f t="shared" si="21"/>
        <v xml:space="preserve">Regency Sarvam Titwala | 1 BHK Flat for </v>
      </c>
      <c r="D484" s="4" t="str">
        <f t="shared" ca="1" si="22"/>
        <v>Older</v>
      </c>
      <c r="E484" s="13">
        <v>44978</v>
      </c>
      <c r="F484" s="23">
        <f t="shared" si="23"/>
        <v>44985</v>
      </c>
      <c r="G484" s="5">
        <v>15</v>
      </c>
      <c r="H484" s="5">
        <v>2136</v>
      </c>
      <c r="I484" s="6">
        <v>4.3243999999999998</v>
      </c>
      <c r="J484" s="5">
        <v>1</v>
      </c>
      <c r="K484" s="7">
        <v>0.753</v>
      </c>
      <c r="L484" s="5">
        <v>12759</v>
      </c>
      <c r="M484" s="6">
        <v>4.62</v>
      </c>
    </row>
    <row r="485" spans="1:13" x14ac:dyDescent="0.35">
      <c r="A485" s="4" t="s">
        <v>852</v>
      </c>
      <c r="B485" s="4" t="s">
        <v>1005</v>
      </c>
      <c r="C485" s="4" t="str">
        <f t="shared" si="21"/>
        <v xml:space="preserve">Mohan Group  New Launch In Ambernath | </v>
      </c>
      <c r="D485" s="4" t="str">
        <f t="shared" ca="1" si="22"/>
        <v>Older</v>
      </c>
      <c r="E485" s="13">
        <v>44976</v>
      </c>
      <c r="F485" s="23">
        <f t="shared" si="23"/>
        <v>44985</v>
      </c>
      <c r="G485" s="5">
        <v>31</v>
      </c>
      <c r="H485" s="5">
        <v>617</v>
      </c>
      <c r="I485" s="6">
        <v>2.1107999999999998</v>
      </c>
      <c r="J485" s="5">
        <v>0</v>
      </c>
      <c r="K485" s="7">
        <v>0.24299999999999999</v>
      </c>
      <c r="L485" s="5">
        <v>4088</v>
      </c>
      <c r="M485" s="6">
        <v>3.74</v>
      </c>
    </row>
    <row r="486" spans="1:13" x14ac:dyDescent="0.35">
      <c r="A486" s="4" t="s">
        <v>765</v>
      </c>
      <c r="B486" s="4" t="s">
        <v>956</v>
      </c>
      <c r="C486" s="4" t="str">
        <f t="shared" si="21"/>
        <v>1 &amp; 2 BHK Terrace Flats | Saket World K</v>
      </c>
      <c r="D486" s="4" t="str">
        <f t="shared" ca="1" si="22"/>
        <v>Older</v>
      </c>
      <c r="E486" s="13">
        <v>44975</v>
      </c>
      <c r="F486" s="23">
        <f t="shared" si="23"/>
        <v>44985</v>
      </c>
      <c r="G486" s="5">
        <v>52</v>
      </c>
      <c r="H486" s="5">
        <v>702</v>
      </c>
      <c r="I486" s="6">
        <v>3.7212000000000001</v>
      </c>
      <c r="J486" s="5">
        <v>1</v>
      </c>
      <c r="K486" s="7">
        <v>0.41199999999999998</v>
      </c>
      <c r="L486" s="5">
        <v>4202</v>
      </c>
      <c r="M486" s="6">
        <v>6.71</v>
      </c>
    </row>
    <row r="487" spans="1:13" x14ac:dyDescent="0.35">
      <c r="A487" s="4" t="s">
        <v>708</v>
      </c>
      <c r="B487" s="4" t="s">
        <v>709</v>
      </c>
      <c r="C487" s="4" t="str">
        <f t="shared" si="21"/>
        <v>Vedant Palacia a Project by Tharwani Inf</v>
      </c>
      <c r="D487" s="4" t="str">
        <f t="shared" ca="1" si="22"/>
        <v>Older</v>
      </c>
      <c r="E487" s="13">
        <v>44932</v>
      </c>
      <c r="F487" s="23">
        <f t="shared" si="23"/>
        <v>44957</v>
      </c>
      <c r="G487" s="5">
        <v>975</v>
      </c>
      <c r="H487" s="5">
        <v>758</v>
      </c>
      <c r="I487" s="6">
        <v>42.856200000000001</v>
      </c>
      <c r="J487" s="5">
        <v>3</v>
      </c>
      <c r="K487" s="7">
        <v>60.856999999999999</v>
      </c>
      <c r="L487" s="5">
        <v>6002</v>
      </c>
      <c r="M487" s="6">
        <v>8.36</v>
      </c>
    </row>
    <row r="488" spans="1:13" x14ac:dyDescent="0.35">
      <c r="A488" s="4" t="s">
        <v>162</v>
      </c>
      <c r="B488" s="4" t="s">
        <v>163</v>
      </c>
      <c r="C488" s="4" t="str">
        <f t="shared" si="21"/>
        <v>Ready To Move 1 &amp; 2 Bhk Flat For Sale In</v>
      </c>
      <c r="D488" s="4" t="str">
        <f t="shared" ca="1" si="22"/>
        <v>Older</v>
      </c>
      <c r="E488" s="13">
        <v>44925</v>
      </c>
      <c r="F488" s="23">
        <f t="shared" si="23"/>
        <v>44926</v>
      </c>
      <c r="G488" s="5">
        <v>29</v>
      </c>
      <c r="H488" s="5">
        <v>1826</v>
      </c>
      <c r="I488" s="6">
        <v>8.4024000000000001</v>
      </c>
      <c r="J488" s="5">
        <v>6</v>
      </c>
      <c r="K488" s="7">
        <v>0.995</v>
      </c>
      <c r="L488" s="5">
        <v>13997</v>
      </c>
      <c r="M488" s="6">
        <v>5.49</v>
      </c>
    </row>
    <row r="489" spans="1:13" x14ac:dyDescent="0.35">
      <c r="A489" s="4" t="s">
        <v>66</v>
      </c>
      <c r="B489" s="4" t="s">
        <v>67</v>
      </c>
      <c r="C489" s="4" t="str">
        <f t="shared" si="21"/>
        <v>1 Bhk 29.95 Lacs* | Regency Sarvam Titwa</v>
      </c>
      <c r="D489" s="4" t="str">
        <f t="shared" ca="1" si="22"/>
        <v>Older</v>
      </c>
      <c r="E489" s="13">
        <v>44894</v>
      </c>
      <c r="F489" s="23">
        <f t="shared" si="23"/>
        <v>44895</v>
      </c>
      <c r="G489" s="5">
        <v>15</v>
      </c>
      <c r="H489" s="5">
        <v>3428</v>
      </c>
      <c r="I489" s="6">
        <v>7.0369999999999999</v>
      </c>
      <c r="J489" s="5">
        <v>3</v>
      </c>
      <c r="K489" s="7">
        <v>1.262</v>
      </c>
      <c r="L489" s="5">
        <v>33328</v>
      </c>
      <c r="M489" s="6">
        <v>2.96</v>
      </c>
    </row>
    <row r="490" spans="1:13" x14ac:dyDescent="0.35">
      <c r="A490" s="4" t="s">
        <v>588</v>
      </c>
      <c r="B490" s="4" t="s">
        <v>994</v>
      </c>
      <c r="C490" s="4" t="str">
        <f t="shared" si="21"/>
        <v>Swaminarayan City Dombivali West | 7</v>
      </c>
      <c r="D490" s="4" t="str">
        <f t="shared" ca="1" si="22"/>
        <v>Older</v>
      </c>
      <c r="E490" s="13">
        <v>44877</v>
      </c>
      <c r="F490" s="23">
        <f t="shared" si="23"/>
        <v>44895</v>
      </c>
      <c r="G490" s="5">
        <v>1465</v>
      </c>
      <c r="H490" s="5">
        <v>854</v>
      </c>
      <c r="I490" s="6">
        <v>60.732799999999997</v>
      </c>
      <c r="J490" s="5">
        <v>1</v>
      </c>
      <c r="K490" s="7">
        <v>73.701999999999998</v>
      </c>
      <c r="L490" s="5">
        <v>4732</v>
      </c>
      <c r="M490" s="6">
        <v>6.61</v>
      </c>
    </row>
    <row r="491" spans="1:13" x14ac:dyDescent="0.35">
      <c r="A491" s="4" t="s">
        <v>314</v>
      </c>
      <c r="B491" s="4" t="s">
        <v>893</v>
      </c>
      <c r="C491" s="4" t="str">
        <f t="shared" si="21"/>
        <v>Kohinoor Eden Kalyan East New Constructi</v>
      </c>
      <c r="D491" s="4" t="str">
        <f t="shared" ca="1" si="22"/>
        <v>Older</v>
      </c>
      <c r="E491" s="13">
        <v>44815</v>
      </c>
      <c r="F491" s="23">
        <f t="shared" si="23"/>
        <v>44834</v>
      </c>
      <c r="G491" s="5">
        <v>29</v>
      </c>
      <c r="H491" s="5">
        <v>1275</v>
      </c>
      <c r="I491" s="6">
        <v>4.0660999999999996</v>
      </c>
      <c r="J491" s="5">
        <v>0</v>
      </c>
      <c r="K491" s="7">
        <v>0.41899999999999998</v>
      </c>
      <c r="L491" s="5">
        <v>8508</v>
      </c>
      <c r="M491" s="6">
        <v>3.6</v>
      </c>
    </row>
    <row r="492" spans="1:13" x14ac:dyDescent="0.35">
      <c r="A492" s="4" t="s">
        <v>741</v>
      </c>
      <c r="B492" s="4" t="s">
        <v>900</v>
      </c>
      <c r="C492" s="4" t="str">
        <f t="shared" si="21"/>
        <v>Ready To Move 1 &amp; 2 Bhk Flats For Sale I</v>
      </c>
      <c r="D492" s="4" t="str">
        <f t="shared" ca="1" si="22"/>
        <v>Older</v>
      </c>
      <c r="E492" s="13">
        <v>44798</v>
      </c>
      <c r="F492" s="23">
        <f t="shared" si="23"/>
        <v>44804</v>
      </c>
      <c r="G492" s="5">
        <v>21</v>
      </c>
      <c r="H492" s="5">
        <v>731</v>
      </c>
      <c r="I492" s="6">
        <v>2.0901000000000001</v>
      </c>
      <c r="J492" s="5">
        <v>0</v>
      </c>
      <c r="K492" s="7">
        <v>0.33700000000000002</v>
      </c>
      <c r="L492" s="5">
        <v>4191</v>
      </c>
      <c r="M492" s="6">
        <v>6.7</v>
      </c>
    </row>
    <row r="493" spans="1:13" x14ac:dyDescent="0.35">
      <c r="A493" s="4" t="s">
        <v>506</v>
      </c>
      <c r="B493" s="4" t="s">
        <v>1002</v>
      </c>
      <c r="C493" s="4" t="str">
        <f t="shared" si="21"/>
        <v>1 RK 21 LACS &amp; 1 BHK 25 LACS AT KALYAN W</v>
      </c>
      <c r="D493" s="4" t="str">
        <f t="shared" ca="1" si="22"/>
        <v>Older</v>
      </c>
      <c r="E493" s="13">
        <v>44787</v>
      </c>
      <c r="F493" s="23">
        <f t="shared" si="23"/>
        <v>44804</v>
      </c>
      <c r="G493" s="5">
        <v>16</v>
      </c>
      <c r="H493" s="5">
        <v>966</v>
      </c>
      <c r="I493" s="6">
        <v>2.0501999999999998</v>
      </c>
      <c r="J493" s="5">
        <v>1</v>
      </c>
      <c r="K493" s="7">
        <v>0.32100000000000001</v>
      </c>
      <c r="L493" s="5">
        <v>5213</v>
      </c>
      <c r="M493" s="6">
        <v>5.66</v>
      </c>
    </row>
    <row r="494" spans="1:13" x14ac:dyDescent="0.35">
      <c r="A494" s="4" t="s">
        <v>774</v>
      </c>
      <c r="B494" s="4" t="s">
        <v>775</v>
      </c>
      <c r="C494" s="4" t="str">
        <f t="shared" si="21"/>
        <v>Om Sai Home Bhiwandi | 1 BHK Sample Flat</v>
      </c>
      <c r="D494" s="4" t="str">
        <f t="shared" ca="1" si="22"/>
        <v>Older</v>
      </c>
      <c r="E494" s="13">
        <v>44765</v>
      </c>
      <c r="F494" s="23">
        <f t="shared" si="23"/>
        <v>44773</v>
      </c>
      <c r="G494" s="5">
        <v>56</v>
      </c>
      <c r="H494" s="5">
        <v>688</v>
      </c>
      <c r="I494" s="6">
        <v>2.7538999999999998</v>
      </c>
      <c r="J494" s="5">
        <v>1</v>
      </c>
      <c r="K494" s="7">
        <v>0.248</v>
      </c>
      <c r="L494" s="5">
        <v>6906</v>
      </c>
      <c r="M494" s="6">
        <v>3.72</v>
      </c>
    </row>
    <row r="495" spans="1:13" x14ac:dyDescent="0.35">
      <c r="A495" s="4" t="s">
        <v>752</v>
      </c>
      <c r="B495" s="4" t="s">
        <v>753</v>
      </c>
      <c r="C495" s="4" t="str">
        <f t="shared" si="21"/>
        <v>Regency Sarvam Titwala East | Short Proj</v>
      </c>
      <c r="D495" s="4" t="str">
        <f t="shared" ca="1" si="22"/>
        <v>Older</v>
      </c>
      <c r="E495" s="13">
        <v>44709</v>
      </c>
      <c r="F495" s="23">
        <f t="shared" si="23"/>
        <v>44712</v>
      </c>
      <c r="G495" s="5">
        <v>18</v>
      </c>
      <c r="H495" s="5">
        <v>715</v>
      </c>
      <c r="I495" s="6">
        <v>1.3872</v>
      </c>
      <c r="J495" s="5">
        <v>1</v>
      </c>
      <c r="K495" s="7">
        <v>0.251</v>
      </c>
      <c r="L495" s="5">
        <v>5863</v>
      </c>
      <c r="M495" s="6">
        <v>3.39</v>
      </c>
    </row>
    <row r="496" spans="1:13" x14ac:dyDescent="0.35">
      <c r="A496" s="4" t="s">
        <v>183</v>
      </c>
      <c r="B496" s="4" t="s">
        <v>184</v>
      </c>
      <c r="C496" s="4" t="str">
        <f t="shared" si="21"/>
        <v>Flats for Sale in Bhiwandi | Top 5 Proje</v>
      </c>
      <c r="D496" s="4" t="str">
        <f t="shared" ca="1" si="22"/>
        <v>Older</v>
      </c>
      <c r="E496" s="13">
        <v>44644</v>
      </c>
      <c r="F496" s="23">
        <f t="shared" si="23"/>
        <v>44651</v>
      </c>
      <c r="G496" s="5">
        <v>69</v>
      </c>
      <c r="H496" s="5">
        <v>1719</v>
      </c>
      <c r="I496" s="6">
        <v>18.4146</v>
      </c>
      <c r="J496" s="5">
        <v>8</v>
      </c>
      <c r="K496" s="7">
        <v>109.22199999999999</v>
      </c>
      <c r="L496" s="5">
        <v>14176</v>
      </c>
      <c r="M496" s="6">
        <v>11.3</v>
      </c>
    </row>
    <row r="497" spans="1:13" x14ac:dyDescent="0.35">
      <c r="A497" s="4" t="s">
        <v>150</v>
      </c>
      <c r="B497" s="4" t="s">
        <v>151</v>
      </c>
      <c r="C497" s="4" t="str">
        <f t="shared" si="21"/>
        <v>Siddha Sky Wadala Mumbai | Review Locati</v>
      </c>
      <c r="D497" s="4" t="str">
        <f t="shared" ca="1" si="22"/>
        <v>Older</v>
      </c>
      <c r="E497" s="13">
        <v>43877</v>
      </c>
      <c r="F497" s="23">
        <f t="shared" si="23"/>
        <v>43890</v>
      </c>
      <c r="G497" s="5">
        <v>283</v>
      </c>
      <c r="H497" s="5">
        <v>1895</v>
      </c>
      <c r="I497" s="6">
        <v>60.524000000000001</v>
      </c>
      <c r="J497" s="5">
        <v>8</v>
      </c>
      <c r="K497" s="7">
        <v>433.17399999999998</v>
      </c>
      <c r="L497" s="5">
        <v>11051</v>
      </c>
      <c r="M497" s="6">
        <v>13.67</v>
      </c>
    </row>
    <row r="498" spans="1:13" x14ac:dyDescent="0.35">
      <c r="A498" s="4" t="s">
        <v>172</v>
      </c>
      <c r="B498" s="4" t="s">
        <v>173</v>
      </c>
      <c r="C498" s="4" t="str">
        <f t="shared" si="21"/>
        <v>Asmeeta Textile Park by Asmeeta Texpa at</v>
      </c>
      <c r="D498" s="4" t="str">
        <f t="shared" ca="1" si="22"/>
        <v>Older</v>
      </c>
      <c r="E498" s="13">
        <v>43849</v>
      </c>
      <c r="F498" s="23">
        <f t="shared" si="23"/>
        <v>43861</v>
      </c>
      <c r="G498" s="5">
        <v>16</v>
      </c>
      <c r="H498" s="5">
        <v>1764</v>
      </c>
      <c r="I498" s="6">
        <v>5.2173999999999996</v>
      </c>
      <c r="J498" s="5">
        <v>6</v>
      </c>
      <c r="K498" s="7">
        <v>0.67500000000000004</v>
      </c>
      <c r="L498" s="5">
        <v>12345</v>
      </c>
      <c r="M498" s="6">
        <v>4.24</v>
      </c>
    </row>
    <row r="499" spans="1:13" x14ac:dyDescent="0.35">
      <c r="A499" s="4" t="s">
        <v>74</v>
      </c>
      <c r="B499" s="4" t="s">
        <v>75</v>
      </c>
      <c r="C499" s="4" t="str">
        <f t="shared" si="21"/>
        <v>Regency Sarvam Titwala East | Sample Fla</v>
      </c>
      <c r="D499" s="4" t="str">
        <f t="shared" ca="1" si="22"/>
        <v>Older</v>
      </c>
      <c r="E499" s="13">
        <v>43820</v>
      </c>
      <c r="F499" s="23">
        <f t="shared" si="23"/>
        <v>43830</v>
      </c>
      <c r="G499" s="5">
        <v>365</v>
      </c>
      <c r="H499" s="5">
        <v>3156</v>
      </c>
      <c r="I499" s="6">
        <v>98.020099999999999</v>
      </c>
      <c r="J499" s="5">
        <v>6</v>
      </c>
      <c r="K499" s="7">
        <v>408.613</v>
      </c>
      <c r="L499" s="5">
        <v>19236</v>
      </c>
      <c r="M499" s="6">
        <v>12.99</v>
      </c>
    </row>
    <row r="500" spans="1:13" x14ac:dyDescent="0.35">
      <c r="A500" s="4" t="s">
        <v>329</v>
      </c>
      <c r="B500" s="4" t="s">
        <v>330</v>
      </c>
      <c r="C500" s="4" t="str">
        <f t="shared" si="21"/>
        <v>Mahindra Happinest Kalyan | 1 &amp; 2 BHK Fl</v>
      </c>
      <c r="D500" s="4" t="str">
        <f t="shared" ca="1" si="22"/>
        <v>Older</v>
      </c>
      <c r="E500" s="13">
        <v>43784</v>
      </c>
      <c r="F500" s="23">
        <f t="shared" si="23"/>
        <v>43799</v>
      </c>
      <c r="G500" s="5">
        <v>6</v>
      </c>
      <c r="H500" s="5">
        <v>1249</v>
      </c>
      <c r="I500" s="6">
        <v>1.4705999999999999</v>
      </c>
      <c r="J500" s="5">
        <v>1</v>
      </c>
      <c r="K500" s="7">
        <v>0.312</v>
      </c>
      <c r="L500" s="5">
        <v>7658</v>
      </c>
      <c r="M500" s="6">
        <v>3.16</v>
      </c>
    </row>
    <row r="502" spans="1:13" x14ac:dyDescent="0.35">
      <c r="E502"/>
      <c r="F502"/>
    </row>
  </sheetData>
  <autoFilter ref="A1:M1"/>
  <sortState ref="A2:L501">
    <sortCondition descending="1" ref="E1"/>
  </sortState>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selection sqref="A1:D15"/>
    </sheetView>
  </sheetViews>
  <sheetFormatPr defaultRowHeight="14.5" x14ac:dyDescent="0.35"/>
  <cols>
    <col min="1" max="1" width="12.36328125" bestFit="1" customWidth="1"/>
    <col min="2" max="2" width="13.36328125" bestFit="1" customWidth="1"/>
    <col min="3" max="3" width="8.90625" style="20" bestFit="1" customWidth="1"/>
    <col min="4" max="4" width="20.6328125" style="20" bestFit="1" customWidth="1"/>
    <col min="5" max="5" width="20.26953125" bestFit="1" customWidth="1"/>
  </cols>
  <sheetData>
    <row r="1" spans="1:4" x14ac:dyDescent="0.35">
      <c r="A1" s="8" t="s">
        <v>1019</v>
      </c>
      <c r="B1" s="8" t="s">
        <v>1018</v>
      </c>
      <c r="C1" s="18" t="s">
        <v>0</v>
      </c>
      <c r="D1" s="18" t="s">
        <v>1017</v>
      </c>
    </row>
    <row r="2" spans="1:4" x14ac:dyDescent="0.35">
      <c r="A2" s="4" t="s">
        <v>1</v>
      </c>
      <c r="B2" s="4" t="s">
        <v>2</v>
      </c>
      <c r="C2" s="19">
        <v>1.8E-3</v>
      </c>
      <c r="D2" s="19">
        <v>8.9999999999999998E-4</v>
      </c>
    </row>
    <row r="3" spans="1:4" x14ac:dyDescent="0.35">
      <c r="A3" s="4" t="s">
        <v>1</v>
      </c>
      <c r="B3" s="4" t="s">
        <v>3</v>
      </c>
      <c r="C3" s="19">
        <v>3.5999999999999999E-3</v>
      </c>
      <c r="D3" s="19">
        <v>2.3E-3</v>
      </c>
    </row>
    <row r="4" spans="1:4" x14ac:dyDescent="0.35">
      <c r="A4" s="4" t="s">
        <v>4</v>
      </c>
      <c r="B4" s="4" t="s">
        <v>2</v>
      </c>
      <c r="C4" s="19">
        <v>3.5900000000000001E-2</v>
      </c>
      <c r="D4" s="19">
        <v>2.8300000000000002E-2</v>
      </c>
    </row>
    <row r="5" spans="1:4" x14ac:dyDescent="0.35">
      <c r="A5" s="4" t="s">
        <v>4</v>
      </c>
      <c r="B5" s="4" t="s">
        <v>3</v>
      </c>
      <c r="C5" s="19">
        <v>7.5800000000000006E-2</v>
      </c>
      <c r="D5" s="19">
        <v>6.7799999999999999E-2</v>
      </c>
    </row>
    <row r="6" spans="1:4" x14ac:dyDescent="0.35">
      <c r="A6" s="4" t="s">
        <v>5</v>
      </c>
      <c r="B6" s="4" t="s">
        <v>2</v>
      </c>
      <c r="C6" s="19">
        <v>0.1114</v>
      </c>
      <c r="D6" s="19">
        <v>0.10400000000000001</v>
      </c>
    </row>
    <row r="7" spans="1:4" x14ac:dyDescent="0.35">
      <c r="A7" s="4" t="s">
        <v>5</v>
      </c>
      <c r="B7" s="4" t="s">
        <v>3</v>
      </c>
      <c r="C7" s="19">
        <v>0.2389</v>
      </c>
      <c r="D7" s="19">
        <v>0.2525</v>
      </c>
    </row>
    <row r="8" spans="1:4" x14ac:dyDescent="0.35">
      <c r="A8" s="4" t="s">
        <v>6</v>
      </c>
      <c r="B8" s="4" t="s">
        <v>2</v>
      </c>
      <c r="C8" s="19">
        <v>9.1199999999999989E-2</v>
      </c>
      <c r="D8" s="19">
        <v>8.3900000000000002E-2</v>
      </c>
    </row>
    <row r="9" spans="1:4" x14ac:dyDescent="0.35">
      <c r="A9" s="4" t="s">
        <v>6</v>
      </c>
      <c r="B9" s="4" t="s">
        <v>3</v>
      </c>
      <c r="C9" s="19">
        <v>0.1938</v>
      </c>
      <c r="D9" s="19">
        <v>0.19450000000000001</v>
      </c>
    </row>
    <row r="10" spans="1:4" x14ac:dyDescent="0.35">
      <c r="A10" s="4" t="s">
        <v>7</v>
      </c>
      <c r="B10" s="4" t="s">
        <v>2</v>
      </c>
      <c r="C10" s="19">
        <v>5.9200000000000003E-2</v>
      </c>
      <c r="D10" s="19">
        <v>5.9200000000000003E-2</v>
      </c>
    </row>
    <row r="11" spans="1:4" x14ac:dyDescent="0.35">
      <c r="A11" s="4" t="s">
        <v>7</v>
      </c>
      <c r="B11" s="4" t="s">
        <v>3</v>
      </c>
      <c r="C11" s="19">
        <v>8.3800000000000013E-2</v>
      </c>
      <c r="D11" s="19">
        <v>8.7400000000000005E-2</v>
      </c>
    </row>
    <row r="12" spans="1:4" x14ac:dyDescent="0.35">
      <c r="A12" s="4" t="s">
        <v>8</v>
      </c>
      <c r="B12" s="4" t="s">
        <v>2</v>
      </c>
      <c r="C12" s="19">
        <v>2.6699999999999998E-2</v>
      </c>
      <c r="D12" s="19">
        <v>2.86E-2</v>
      </c>
    </row>
    <row r="13" spans="1:4" x14ac:dyDescent="0.35">
      <c r="A13" s="4" t="s">
        <v>8</v>
      </c>
      <c r="B13" s="4" t="s">
        <v>3</v>
      </c>
      <c r="C13" s="19">
        <v>4.87E-2</v>
      </c>
      <c r="D13" s="19">
        <v>5.5599999999999997E-2</v>
      </c>
    </row>
    <row r="14" spans="1:4" x14ac:dyDescent="0.35">
      <c r="A14" s="4" t="s">
        <v>9</v>
      </c>
      <c r="B14" s="4" t="s">
        <v>2</v>
      </c>
      <c r="C14" s="19">
        <v>8.199999999999999E-3</v>
      </c>
      <c r="D14" s="19">
        <v>8.199999999999999E-3</v>
      </c>
    </row>
    <row r="15" spans="1:4" x14ac:dyDescent="0.35">
      <c r="A15" s="4" t="s">
        <v>9</v>
      </c>
      <c r="B15" s="4" t="s">
        <v>3</v>
      </c>
      <c r="C15" s="19">
        <v>2.1000000000000001E-2</v>
      </c>
      <c r="D15" s="19">
        <v>2.7000000000000003E-2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topLeftCell="B2" zoomScale="84" workbookViewId="0">
      <selection activeCell="M24" sqref="M24"/>
    </sheetView>
  </sheetViews>
  <sheetFormatPr defaultRowHeight="14.5" x14ac:dyDescent="0.35"/>
  <cols>
    <col min="1" max="1" width="12.36328125" bestFit="1" customWidth="1"/>
    <col min="2" max="2" width="15.26953125" bestFit="1" customWidth="1"/>
  </cols>
  <sheetData>
    <row r="3" spans="1:2" x14ac:dyDescent="0.35">
      <c r="A3" s="15" t="s">
        <v>1012</v>
      </c>
      <c r="B3" t="s">
        <v>1027</v>
      </c>
    </row>
    <row r="4" spans="1:2" x14ac:dyDescent="0.35">
      <c r="A4" s="17" t="s">
        <v>9</v>
      </c>
      <c r="B4" s="20">
        <v>2.92E-2</v>
      </c>
    </row>
    <row r="5" spans="1:2" x14ac:dyDescent="0.35">
      <c r="A5" s="17" t="s">
        <v>8</v>
      </c>
      <c r="B5" s="20">
        <v>7.5399999999999995E-2</v>
      </c>
    </row>
    <row r="6" spans="1:2" x14ac:dyDescent="0.35">
      <c r="A6" s="17" t="s">
        <v>7</v>
      </c>
      <c r="B6" s="20">
        <v>0.14300000000000002</v>
      </c>
    </row>
    <row r="7" spans="1:2" x14ac:dyDescent="0.35">
      <c r="A7" s="17" t="s">
        <v>6</v>
      </c>
      <c r="B7" s="20">
        <v>0.28499999999999998</v>
      </c>
    </row>
    <row r="8" spans="1:2" x14ac:dyDescent="0.35">
      <c r="A8" s="17" t="s">
        <v>5</v>
      </c>
      <c r="B8" s="20">
        <v>0.3503</v>
      </c>
    </row>
    <row r="9" spans="1:2" x14ac:dyDescent="0.35">
      <c r="A9" s="17" t="s">
        <v>4</v>
      </c>
      <c r="B9" s="20">
        <v>0.11170000000000001</v>
      </c>
    </row>
    <row r="10" spans="1:2" x14ac:dyDescent="0.35">
      <c r="A10" s="17" t="s">
        <v>1</v>
      </c>
      <c r="B10" s="20">
        <v>5.4000000000000003E-3</v>
      </c>
    </row>
    <row r="11" spans="1:2" x14ac:dyDescent="0.35">
      <c r="A11" s="17" t="s">
        <v>1013</v>
      </c>
      <c r="B11" s="20">
        <v>1</v>
      </c>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V22"/>
  <sheetViews>
    <sheetView showGridLines="0" showRowColHeaders="0" tabSelected="1" zoomScale="40" zoomScaleNormal="40" workbookViewId="0">
      <selection activeCell="D64" sqref="D64"/>
    </sheetView>
  </sheetViews>
  <sheetFormatPr defaultRowHeight="14.5" x14ac:dyDescent="0.35"/>
  <cols>
    <col min="1" max="1" width="5.6328125" style="21" customWidth="1"/>
    <col min="2" max="2" width="38.1796875" style="21" customWidth="1"/>
    <col min="3" max="3" width="22" style="21" customWidth="1"/>
    <col min="4" max="4" width="44.08984375" style="21" customWidth="1"/>
    <col min="5" max="5" width="21.453125" style="21" customWidth="1"/>
    <col min="6" max="6" width="37.08984375" style="21" customWidth="1"/>
    <col min="7" max="7" width="18.7265625" style="21" customWidth="1"/>
    <col min="8" max="8" width="37.6328125" style="21" customWidth="1"/>
    <col min="9" max="9" width="21.453125" style="21" customWidth="1"/>
    <col min="10" max="10" width="40.90625" style="21" customWidth="1"/>
    <col min="11" max="11" width="10.54296875" style="21" customWidth="1"/>
    <col min="12" max="16384" width="8.7265625" style="21"/>
  </cols>
  <sheetData>
    <row r="1" spans="1:48" ht="54.5" customHeight="1" x14ac:dyDescent="0.35">
      <c r="A1" s="25" t="s">
        <v>1028</v>
      </c>
      <c r="B1" s="25"/>
      <c r="C1" s="25"/>
      <c r="D1" s="25"/>
      <c r="E1" s="25"/>
      <c r="F1" s="25"/>
      <c r="G1" s="25"/>
      <c r="H1" s="25"/>
      <c r="I1" s="25"/>
      <c r="J1" s="25"/>
      <c r="K1" s="25"/>
      <c r="L1" s="25"/>
      <c r="M1" s="25"/>
      <c r="N1" s="25"/>
      <c r="O1" s="25"/>
      <c r="P1" s="25"/>
      <c r="Q1" s="25"/>
      <c r="R1" s="25"/>
      <c r="S1" s="25"/>
      <c r="T1" s="25"/>
      <c r="U1" s="25"/>
      <c r="V1" s="25"/>
      <c r="W1" s="25"/>
      <c r="X1" s="25"/>
      <c r="Y1" s="25"/>
      <c r="Z1" s="25"/>
    </row>
    <row r="2" spans="1:48" ht="20.5" customHeight="1" x14ac:dyDescent="0.35"/>
    <row r="3" spans="1:48" ht="38" customHeight="1" x14ac:dyDescent="0.35">
      <c r="B3" s="36" t="s">
        <v>1029</v>
      </c>
      <c r="D3" s="36" t="s">
        <v>1030</v>
      </c>
      <c r="F3" s="36" t="s">
        <v>1031</v>
      </c>
      <c r="H3" s="36" t="s">
        <v>1032</v>
      </c>
      <c r="I3" s="22"/>
      <c r="J3" s="36" t="s">
        <v>1041</v>
      </c>
    </row>
    <row r="4" spans="1:48" ht="36.5" customHeight="1" x14ac:dyDescent="0.35">
      <c r="B4" s="26">
        <v>968436</v>
      </c>
      <c r="D4" s="27">
        <f>'Watch Time by Time Period'!B8</f>
        <v>8826.7869000000046</v>
      </c>
      <c r="F4" s="30">
        <f>'Revenue by Time Period'!B8</f>
        <v>497</v>
      </c>
      <c r="H4" s="33">
        <f>'Total Subscribers Gain'!B8</f>
        <v>2285</v>
      </c>
      <c r="J4" s="27">
        <f>IFERROR((D4*60)/B4,"")</f>
        <v>0.54686857365897201</v>
      </c>
    </row>
    <row r="5" spans="1:48" ht="14.5" customHeight="1" x14ac:dyDescent="0.35">
      <c r="B5" s="26"/>
      <c r="D5" s="28"/>
      <c r="F5" s="31"/>
      <c r="H5" s="34"/>
      <c r="J5" s="28"/>
    </row>
    <row r="6" spans="1:48" ht="7.5" customHeight="1" x14ac:dyDescent="0.35">
      <c r="B6" s="26"/>
      <c r="D6" s="28"/>
      <c r="F6" s="31"/>
      <c r="H6" s="34"/>
      <c r="J6" s="28"/>
    </row>
    <row r="7" spans="1:48" ht="4" customHeight="1" x14ac:dyDescent="0.35">
      <c r="B7" s="26"/>
      <c r="D7" s="29"/>
      <c r="F7" s="32"/>
      <c r="H7" s="35"/>
      <c r="J7" s="29"/>
    </row>
    <row r="8" spans="1:48" ht="20.5" customHeight="1" x14ac:dyDescent="0.35"/>
    <row r="15" spans="1:48" x14ac:dyDescent="0.35">
      <c r="AV15" s="37"/>
    </row>
    <row r="22" spans="31:31" x14ac:dyDescent="0.35">
      <c r="AE22" s="21" t="s">
        <v>1040</v>
      </c>
    </row>
  </sheetData>
  <mergeCells count="6">
    <mergeCell ref="B4:B7"/>
    <mergeCell ref="D4:D7"/>
    <mergeCell ref="F4:F7"/>
    <mergeCell ref="H4:H7"/>
    <mergeCell ref="A1:Z1"/>
    <mergeCell ref="J4:J7"/>
  </mergeCells>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Revenue by Time Period</vt:lpstr>
      <vt:lpstr>Watch Time by Time Period</vt:lpstr>
      <vt:lpstr>Views by Time Period</vt:lpstr>
      <vt:lpstr>Total Subscribers Gain</vt:lpstr>
      <vt:lpstr>Monthly Trend Chat</vt:lpstr>
      <vt:lpstr>Top 5 Videos</vt:lpstr>
      <vt:lpstr>Revenue Contribution by Time</vt:lpstr>
      <vt:lpstr>Monthly Subscribers Growth</vt:lpstr>
      <vt:lpstr>Video Data</vt:lpstr>
      <vt:lpstr>Age &amp; Gender</vt:lpstr>
      <vt:lpstr>Audience Distribution by Age</vt:lpstr>
      <vt:lpstr>Dashboard</vt:lpstr>
      <vt:lpstr>Dashboard!Print_Area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2026-02-24T17:27:16Z</cp:lastPrinted>
  <dcterms:created xsi:type="dcterms:W3CDTF">2026-02-22T14:12:11Z</dcterms:created>
  <dcterms:modified xsi:type="dcterms:W3CDTF">2026-02-24T17:49:24Z</dcterms:modified>
</cp:coreProperties>
</file>